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tables/table1.xml" ContentType="application/vnd.openxmlformats-officedocument.spreadsheetml.table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3615" yWindow="2430" windowWidth="21600" windowHeight="11370" tabRatio="600" firstSheet="0" activeTab="0" autoFilterDateGrouping="1"/>
  </bookViews>
  <sheets>
    <sheet xmlns:r="http://schemas.openxmlformats.org/officeDocument/2006/relationships" name="Plantilla" sheetId="1" state="visible" r:id="rId1"/>
    <sheet xmlns:r="http://schemas.openxmlformats.org/officeDocument/2006/relationships" name="El Tío Tech" sheetId="2" state="visible" r:id="rId2"/>
  </sheets>
  <definedNames>
    <definedName name="_xleta.LEN" hidden="1" xlm="1">#NAME?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d/mm/yyyy"/>
  </numFmts>
  <fonts count="22">
    <font>
      <name val="Calibri"/>
      <family val="2"/>
      <color theme="1"/>
      <sz val="11"/>
      <scheme val="minor"/>
    </font>
    <font>
      <name val="Calibri"/>
      <family val="2"/>
      <color theme="1"/>
      <sz val="9"/>
      <scheme val="minor"/>
    </font>
    <font>
      <name val="Calibri"/>
      <family val="2"/>
      <b val="1"/>
      <color theme="1" tint="0.0499893185216834"/>
      <sz val="8"/>
      <scheme val="minor"/>
    </font>
    <font>
      <name val="Calibri"/>
      <family val="2"/>
      <color theme="0"/>
      <sz val="11"/>
      <scheme val="minor"/>
    </font>
    <font>
      <name val="Calibri"/>
      <family val="2"/>
      <color theme="10"/>
      <sz val="11"/>
      <u val="single"/>
      <scheme val="minor"/>
    </font>
    <font>
      <name val="Calibri"/>
      <family val="2"/>
      <b val="1"/>
      <color theme="0"/>
      <sz val="26"/>
      <scheme val="minor"/>
    </font>
    <font>
      <name val="Calibri"/>
      <family val="2"/>
      <b val="1"/>
      <color theme="0"/>
      <sz val="28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color theme="1"/>
      <sz val="16"/>
      <scheme val="minor"/>
    </font>
    <font>
      <name val="Roboto Condensed"/>
      <color theme="1"/>
      <sz val="16"/>
    </font>
    <font>
      <name val="Roboto Condensed"/>
      <color theme="10"/>
      <sz val="16"/>
      <u val="single"/>
    </font>
    <font>
      <name val="Calibri"/>
      <family val="2"/>
      <color rgb="FF3F3F76"/>
      <sz val="11"/>
      <scheme val="minor"/>
    </font>
    <font>
      <name val="Calibri"/>
      <family val="2"/>
      <b val="1"/>
      <color theme="0"/>
      <sz val="11"/>
      <scheme val="minor"/>
    </font>
    <font>
      <name val="Calibri"/>
      <family val="2"/>
      <color theme="1"/>
      <sz val="9"/>
      <scheme val="minor"/>
    </font>
    <font>
      <name val="Calibri"/>
      <family val="2"/>
      <b val="1"/>
      <color theme="1"/>
      <sz val="9"/>
      <scheme val="minor"/>
    </font>
    <font>
      <name val="Inherit"/>
      <color rgb="FF1C1E21"/>
      <sz val="11"/>
    </font>
    <font>
      <name val="Inherit"/>
      <color theme="1"/>
      <sz val="11"/>
    </font>
    <font>
      <name val="Calibri"/>
      <family val="2"/>
      <b val="1"/>
      <color theme="1" tint="0.0499893185216834"/>
      <sz val="8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theme="1"/>
      <sz val="9"/>
      <scheme val="minor"/>
    </font>
    <font>
      <name val="Calibri"/>
      <family val="2"/>
      <b val="1"/>
      <color theme="2"/>
      <sz val="11"/>
      <scheme val="minor"/>
    </font>
    <font>
      <name val="Inherit"/>
      <color rgb="FFFFFFFF"/>
      <sz val="11"/>
    </font>
  </fonts>
  <fills count="22">
    <fill>
      <patternFill/>
    </fill>
    <fill>
      <patternFill patternType="gray125"/>
    </fill>
    <fill>
      <patternFill patternType="solid">
        <fgColor theme="7" tint="0.3999755851924192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8" tint="0.3999755851924192"/>
        <bgColor indexed="64"/>
      </patternFill>
    </fill>
    <fill>
      <patternFill patternType="solid">
        <fgColor theme="2" tint="0.5999938962981048"/>
        <bgColor indexed="64"/>
      </patternFill>
    </fill>
    <fill>
      <patternFill patternType="solid">
        <fgColor rgb="FFFFCC99"/>
      </patternFill>
    </fill>
    <fill>
      <patternFill patternType="solid">
        <fgColor rgb="FFFF000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0" tint="-0.3499862666707358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0070C0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thin">
        <color theme="4" tint="0.3999755851924192"/>
      </top>
      <bottom style="thin">
        <color theme="4" tint="0.3999755851924192"/>
      </bottom>
      <diagonal/>
    </border>
    <border>
      <left style="thick">
        <color rgb="FF000000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0" fontId="4" fillId="0" borderId="0"/>
    <xf numFmtId="0" fontId="11" fillId="6" borderId="8"/>
  </cellStyleXfs>
  <cellXfs count="85">
    <xf numFmtId="0" fontId="0" fillId="0" borderId="0" pivotButton="0" quotePrefix="0" xfId="0"/>
    <xf numFmtId="14" fontId="0" fillId="2" borderId="2" pivotButton="0" quotePrefix="0" xfId="0"/>
    <xf numFmtId="0" fontId="1" fillId="0" borderId="1" pivotButton="0" quotePrefix="0" xfId="0"/>
    <xf numFmtId="14" fontId="1" fillId="0" borderId="1" pivotButton="0" quotePrefix="0" xfId="0"/>
    <xf numFmtId="0" fontId="1" fillId="0" borderId="4" pivotButton="0" quotePrefix="0" xfId="0"/>
    <xf numFmtId="0" fontId="1" fillId="0" borderId="5" pivotButton="0" quotePrefix="0" xfId="0"/>
    <xf numFmtId="0" fontId="1" fillId="0" borderId="6" pivotButton="0" quotePrefix="0" xfId="0"/>
    <xf numFmtId="14" fontId="1" fillId="0" borderId="6" pivotButton="0" quotePrefix="0" xfId="0"/>
    <xf numFmtId="0" fontId="1" fillId="0" borderId="7" pivotButton="0" quotePrefix="0" xfId="0"/>
    <xf numFmtId="0" fontId="2" fillId="2" borderId="3" applyAlignment="1" pivotButton="0" quotePrefix="0" xfId="0">
      <alignment horizontal="center" vertical="center"/>
    </xf>
    <xf numFmtId="0" fontId="2" fillId="2" borderId="1" applyAlignment="1" pivotButton="0" quotePrefix="0" xfId="0">
      <alignment horizontal="center" vertical="center"/>
    </xf>
    <xf numFmtId="0" fontId="2" fillId="2" borderId="5" applyAlignment="1" pivotButton="0" quotePrefix="0" xfId="0">
      <alignment horizontal="center" vertical="center"/>
    </xf>
    <xf numFmtId="0" fontId="3" fillId="0" borderId="0" pivotButton="0" quotePrefix="0" xfId="0"/>
    <xf numFmtId="0" fontId="5" fillId="3" borderId="0" applyAlignment="1" pivotButton="0" quotePrefix="0" xfId="0">
      <alignment vertical="center"/>
    </xf>
    <xf numFmtId="0" fontId="6" fillId="3" borderId="0" applyAlignment="1" pivotButton="0" quotePrefix="0" xfId="0">
      <alignment vertical="center"/>
    </xf>
    <xf numFmtId="0" fontId="0" fillId="3" borderId="0" pivotButton="0" quotePrefix="0" xfId="0"/>
    <xf numFmtId="0" fontId="7" fillId="4" borderId="0" applyAlignment="1" pivotButton="0" quotePrefix="0" xfId="0">
      <alignment vertical="center"/>
    </xf>
    <xf numFmtId="0" fontId="8" fillId="4" borderId="0" applyAlignment="1" pivotButton="0" quotePrefix="0" xfId="0">
      <alignment vertical="center"/>
    </xf>
    <xf numFmtId="0" fontId="0" fillId="4" borderId="0" pivotButton="0" quotePrefix="0" xfId="0"/>
    <xf numFmtId="0" fontId="9" fillId="0" borderId="0" pivotButton="0" quotePrefix="0" xfId="0"/>
    <xf numFmtId="0" fontId="10" fillId="0" borderId="0" pivotButton="0" quotePrefix="0" xfId="1"/>
    <xf numFmtId="164" fontId="13" fillId="0" borderId="1" pivotButton="0" quotePrefix="0" xfId="0"/>
    <xf numFmtId="0" fontId="13" fillId="0" borderId="1" pivotButton="0" quotePrefix="0" xfId="0"/>
    <xf numFmtId="0" fontId="13" fillId="0" borderId="5" pivotButton="0" quotePrefix="0" xfId="0"/>
    <xf numFmtId="164" fontId="13" fillId="0" borderId="6" pivotButton="0" quotePrefix="0" xfId="0"/>
    <xf numFmtId="0" fontId="13" fillId="0" borderId="6" pivotButton="0" quotePrefix="0" xfId="0"/>
    <xf numFmtId="0" fontId="13" fillId="0" borderId="7" pivotButton="0" quotePrefix="0" xfId="0"/>
    <xf numFmtId="0" fontId="1" fillId="8" borderId="1" pivotButton="0" quotePrefix="0" xfId="0"/>
    <xf numFmtId="164" fontId="1" fillId="0" borderId="1" pivotButton="0" quotePrefix="0" xfId="0"/>
    <xf numFmtId="164" fontId="1" fillId="0" borderId="6" pivotButton="0" quotePrefix="0" xfId="0"/>
    <xf numFmtId="0" fontId="1" fillId="9" borderId="1" pivotButton="0" quotePrefix="0" xfId="0"/>
    <xf numFmtId="0" fontId="14" fillId="0" borderId="6" pivotButton="0" quotePrefix="0" xfId="0"/>
    <xf numFmtId="0" fontId="1" fillId="10" borderId="1" pivotButton="0" quotePrefix="0" xfId="0"/>
    <xf numFmtId="164" fontId="1" fillId="8" borderId="1" pivotButton="0" quotePrefix="0" xfId="0"/>
    <xf numFmtId="0" fontId="4" fillId="0" borderId="1" pivotButton="0" quotePrefix="0" xfId="1"/>
    <xf numFmtId="0" fontId="1" fillId="10" borderId="6" pivotButton="0" quotePrefix="0" xfId="0"/>
    <xf numFmtId="0" fontId="12" fillId="0" borderId="0" pivotButton="0" quotePrefix="0" xfId="0"/>
    <xf numFmtId="0" fontId="4" fillId="0" borderId="0" pivotButton="0" quotePrefix="0" xfId="1"/>
    <xf numFmtId="0" fontId="11" fillId="6" borderId="8" pivotButton="0" quotePrefix="0" xfId="2"/>
    <xf numFmtId="0" fontId="12" fillId="12" borderId="0" pivotButton="0" quotePrefix="0" xfId="0"/>
    <xf numFmtId="0" fontId="12" fillId="9" borderId="8" pivotButton="0" quotePrefix="0" xfId="2"/>
    <xf numFmtId="0" fontId="12" fillId="13" borderId="0" pivotButton="0" quotePrefix="0" xfId="0"/>
    <xf numFmtId="0" fontId="12" fillId="9" borderId="0" pivotButton="0" quotePrefix="0" xfId="0"/>
    <xf numFmtId="0" fontId="12" fillId="14" borderId="0" pivotButton="0" quotePrefix="0" xfId="0"/>
    <xf numFmtId="0" fontId="4" fillId="0" borderId="0" applyAlignment="1" pivotButton="0" quotePrefix="0" xfId="1">
      <alignment horizontal="left" vertical="center" wrapText="1"/>
    </xf>
    <xf numFmtId="0" fontId="12" fillId="7" borderId="0" pivotButton="0" quotePrefix="0" xfId="0"/>
    <xf numFmtId="0" fontId="15" fillId="0" borderId="0" applyAlignment="1" pivotButton="0" quotePrefix="0" xfId="0">
      <alignment horizontal="left" vertical="center" wrapText="1"/>
    </xf>
    <xf numFmtId="0" fontId="11" fillId="11" borderId="8" pivotButton="0" quotePrefix="0" xfId="2"/>
    <xf numFmtId="0" fontId="4" fillId="6" borderId="8" pivotButton="0" quotePrefix="0" xfId="1"/>
    <xf numFmtId="0" fontId="12" fillId="15" borderId="0" pivotButton="0" quotePrefix="0" xfId="0"/>
    <xf numFmtId="0" fontId="12" fillId="16" borderId="0" pivotButton="0" quotePrefix="0" xfId="0"/>
    <xf numFmtId="0" fontId="4" fillId="0" borderId="9" pivotButton="0" quotePrefix="0" xfId="1"/>
    <xf numFmtId="0" fontId="4" fillId="0" borderId="10" applyAlignment="1" pivotButton="0" quotePrefix="0" xfId="1">
      <alignment horizontal="left" vertical="center" wrapText="1" indent="2"/>
    </xf>
    <xf numFmtId="14" fontId="4" fillId="0" borderId="0" pivotButton="0" quotePrefix="0" xfId="1"/>
    <xf numFmtId="0" fontId="16" fillId="0" borderId="0" applyAlignment="1" pivotButton="0" quotePrefix="0" xfId="0">
      <alignment horizontal="left" vertical="center" wrapText="1"/>
    </xf>
    <xf numFmtId="0" fontId="12" fillId="8" borderId="0" pivotButton="0" quotePrefix="0" xfId="0"/>
    <xf numFmtId="0" fontId="4" fillId="8" borderId="0" pivotButton="0" quotePrefix="0" xfId="1"/>
    <xf numFmtId="0" fontId="2" fillId="2" borderId="11" applyAlignment="1" pivotButton="0" quotePrefix="0" xfId="0">
      <alignment horizontal="center" vertical="center"/>
    </xf>
    <xf numFmtId="0" fontId="12" fillId="0" borderId="8" pivotButton="0" quotePrefix="0" xfId="2"/>
    <xf numFmtId="0" fontId="11" fillId="17" borderId="8" pivotButton="0" quotePrefix="0" xfId="2"/>
    <xf numFmtId="0" fontId="17" fillId="2" borderId="11" applyAlignment="1" pivotButton="0" quotePrefix="0" xfId="0">
      <alignment horizontal="center" vertical="center"/>
    </xf>
    <xf numFmtId="0" fontId="0" fillId="0" borderId="9" pivotButton="0" quotePrefix="0" xfId="0"/>
    <xf numFmtId="0" fontId="15" fillId="0" borderId="0" applyAlignment="1" pivotButton="0" quotePrefix="0" xfId="0">
      <alignment vertical="center" wrapText="1"/>
    </xf>
    <xf numFmtId="0" fontId="1" fillId="0" borderId="1" applyAlignment="1" pivotButton="0" quotePrefix="0" xfId="0">
      <alignment wrapText="1"/>
    </xf>
    <xf numFmtId="0" fontId="12" fillId="8" borderId="8" pivotButton="0" quotePrefix="0" xfId="2"/>
    <xf numFmtId="0" fontId="4" fillId="0" borderId="0" applyAlignment="1" pivotButton="0" quotePrefix="0" xfId="1">
      <alignment wrapText="1"/>
    </xf>
    <xf numFmtId="0" fontId="18" fillId="18" borderId="0" pivotButton="0" quotePrefix="0" xfId="0"/>
    <xf numFmtId="0" fontId="4" fillId="0" borderId="0" applyAlignment="1" pivotButton="0" quotePrefix="0" xfId="1">
      <alignment vertical="center" wrapText="1"/>
    </xf>
    <xf numFmtId="0" fontId="11" fillId="8" borderId="8" pivotButton="0" quotePrefix="0" xfId="2"/>
    <xf numFmtId="0" fontId="19" fillId="0" borderId="1" pivotButton="0" quotePrefix="0" xfId="0"/>
    <xf numFmtId="164" fontId="19" fillId="0" borderId="1" pivotButton="0" quotePrefix="0" xfId="0"/>
    <xf numFmtId="0" fontId="19" fillId="0" borderId="5" pivotButton="0" quotePrefix="0" xfId="0"/>
    <xf numFmtId="0" fontId="0" fillId="12" borderId="0" pivotButton="0" quotePrefix="0" xfId="0"/>
    <xf numFmtId="0" fontId="3" fillId="14" borderId="8" pivotButton="0" quotePrefix="0" xfId="2"/>
    <xf numFmtId="0" fontId="11" fillId="0" borderId="8" pivotButton="0" quotePrefix="0" xfId="2"/>
    <xf numFmtId="0" fontId="4" fillId="0" borderId="0" applyAlignment="1" pivotButton="0" quotePrefix="0" xfId="1">
      <alignment horizontal="left" vertical="center" wrapText="1" indent="1"/>
    </xf>
    <xf numFmtId="0" fontId="12" fillId="19" borderId="0" pivotButton="0" quotePrefix="0" xfId="0"/>
    <xf numFmtId="0" fontId="12" fillId="20" borderId="0" pivotButton="0" quotePrefix="0" xfId="0"/>
    <xf numFmtId="0" fontId="20" fillId="14" borderId="8" pivotButton="0" quotePrefix="0" xfId="2"/>
    <xf numFmtId="0" fontId="21" fillId="0" borderId="0" applyAlignment="1" pivotButton="0" quotePrefix="0" xfId="0">
      <alignment vertical="center" wrapText="1"/>
    </xf>
    <xf numFmtId="0" fontId="4" fillId="0" borderId="0" applyAlignment="1" pivotButton="0" quotePrefix="0" xfId="1">
      <alignment vertical="top" wrapText="1"/>
    </xf>
    <xf numFmtId="0" fontId="12" fillId="21" borderId="0" pivotButton="0" quotePrefix="0" xfId="0"/>
    <xf numFmtId="0" fontId="9" fillId="5" borderId="0" applyAlignment="1" pivotButton="0" quotePrefix="0" xfId="0">
      <alignment horizontal="center" vertical="center" wrapText="1"/>
    </xf>
    <xf numFmtId="0" fontId="0" fillId="0" borderId="0" pivotButton="0" quotePrefix="0" xfId="0"/>
    <xf numFmtId="0" fontId="12" fillId="0" borderId="0" pivotButton="0" quotePrefix="0" xfId="0"/>
  </cellXfs>
  <cellStyles count="3">
    <cellStyle name="Normal" xfId="0" builtinId="0"/>
    <cellStyle name="Hipervínculo" xfId="1" builtinId="8"/>
    <cellStyle name="Entrada" xfId="2" builtinId="20"/>
  </cellStyles>
  <dxfs count="49">
    <dxf>
      <font>
        <name val="Calibri"/>
        <strike val="0"/>
        <outline val="0"/>
        <shadow val="0"/>
        <condense val="0"/>
        <color theme="1"/>
        <extend val="0"/>
        <sz val="9"/>
        <vertAlign val="baseline"/>
        <scheme val="minor"/>
      </font>
      <border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strike val="0"/>
        <outline val="0"/>
        <shadow val="0"/>
        <condense val="0"/>
        <color theme="1"/>
        <extend val="0"/>
        <sz val="9"/>
        <vertAlign val="baseline"/>
        <scheme val="minor"/>
      </font>
      <numFmt numFmtId="0" formatCode="General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strike val="0"/>
        <outline val="0"/>
        <shadow val="0"/>
        <condense val="0"/>
        <color theme="1"/>
        <extend val="0"/>
        <sz val="9"/>
        <vertAlign val="baseline"/>
        <scheme val="minor"/>
      </font>
      <numFmt numFmtId="164" formatCode="d/mm/yyyy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strike val="0"/>
        <outline val="0"/>
        <shadow val="0"/>
        <condense val="0"/>
        <color theme="1"/>
        <extend val="0"/>
        <sz val="9"/>
        <vertAlign val="baseline"/>
        <scheme val="minor"/>
      </font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strike val="0"/>
        <outline val="0"/>
        <shadow val="0"/>
        <condense val="0"/>
        <color theme="1"/>
        <extend val="0"/>
        <sz val="9"/>
        <vertAlign val="baseline"/>
        <scheme val="minor"/>
      </font>
      <numFmt numFmtId="164" formatCode="d/mm/yyyy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strike val="0"/>
        <outline val="0"/>
        <shadow val="0"/>
        <condense val="0"/>
        <color theme="1"/>
        <extend val="0"/>
        <sz val="9"/>
        <vertAlign val="baseline"/>
        <scheme val="minor"/>
      </font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strike val="0"/>
        <outline val="0"/>
        <shadow val="0"/>
        <condense val="0"/>
        <color theme="1"/>
        <extend val="0"/>
        <sz val="9"/>
        <vertAlign val="baseline"/>
        <scheme val="minor"/>
      </font>
      <numFmt numFmtId="0" formatCode="General"/>
      <border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name val="Calibri"/>
        <b val="1"/>
        <strike val="0"/>
        <outline val="0"/>
        <shadow val="0"/>
        <condense val="0"/>
        <color theme="1" tint="0.0499893185216834"/>
        <extend val="0"/>
        <sz val="8"/>
        <vertAlign val="baseline"/>
        <scheme val="minor"/>
      </font>
      <fill>
        <patternFill patternType="solid">
          <fgColor indexed="64"/>
          <bgColor theme="7" tint="0.3999755851924192"/>
        </patternFill>
      </fill>
      <alignment horizontal="center" vertical="center"/>
      <border outline="0">
        <left style="thin">
          <color indexed="64"/>
        </left>
        <right style="thin">
          <color indexed="64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drawings/_rels/drawing1.xml.rels><Relationships xmlns="http://schemas.openxmlformats.org/package/2006/relationships"><Relationship Type="http://schemas.openxmlformats.org/officeDocument/2006/relationships/image" Target="/xl/media/image1.png" Id="rId1"/><Relationship Type="http://schemas.openxmlformats.org/officeDocument/2006/relationships/image" Target="/xl/media/image2.png" Id="rId2"/></Relationships>
</file>

<file path=xl/drawings/drawing1.xml><?xml version="1.0" encoding="utf-8"?>
<wsDr xmlns="http://schemas.openxmlformats.org/drawingml/2006/spreadsheetDrawing">
  <twoCellAnchor editAs="oneCell">
    <from>
      <col>7</col>
      <colOff>217714</colOff>
      <row>3</row>
      <rowOff>0</rowOff>
    </from>
    <to>
      <col>16</col>
      <colOff>458336</colOff>
      <row>24</row>
      <rowOff>179242</rowOff>
    </to>
    <pic>
      <nvPicPr>
        <cNvPr id="4" name="Imagen 3"/>
        <cNvPicPr>
          <a:picLocks xmlns:a="http://schemas.openxmlformats.org/drawingml/2006/main" noChangeAspect="1"/>
        </cNvPicPr>
      </nvPicPr>
      <blipFill>
        <a:blip xmlns:a="http://schemas.openxmlformats.org/drawingml/2006/main" xmlns:r="http://schemas.openxmlformats.org/officeDocument/2006/relationships" r:embed="rId2"/>
        <a:stretch xmlns:a="http://schemas.openxmlformats.org/drawingml/2006/main">
          <a:fillRect/>
        </a:stretch>
      </blipFill>
      <spPr>
        <a:xfrm xmlns:a="http://schemas.openxmlformats.org/drawingml/2006/main">
          <a:off x="9952264" y="990600"/>
          <a:ext cx="7098622" cy="4884591"/>
        </a:xfrm>
        <a:prstGeom xmlns:a="http://schemas.openxmlformats.org/drawingml/2006/main" prst="rect">
          <avLst/>
        </a:prstGeom>
        <a:ln xmlns:a="http://schemas.openxmlformats.org/drawingml/2006/main">
          <a:prstDash val="solid"/>
        </a:ln>
      </spPr>
    </pic>
    <clientData/>
  </twoCellAnchor>
  <oneCellAnchor>
    <from>
      <col>0</col>
      <colOff>95251</colOff>
      <row>0</row>
      <rowOff>40822</rowOff>
    </from>
    <ext cx="392140" cy="367392"/>
    <pic>
      <nvPicPr>
        <cNvPr id="3" name="Imagen 2"/>
        <cNvPicPr>
          <a:picLocks xmlns:a="http://schemas.openxmlformats.org/drawingml/2006/main" noChangeAspect="1"/>
        </cNvPicPr>
      </nvPicPr>
      <blipFill>
        <a:blip xmlns:a="http://schemas.openxmlformats.org/drawingml/2006/main" xmlns:r="http://schemas.openxmlformats.org/officeDocument/2006/relationships" cstate="print" r:embed="rId1"/>
        <a:stretch xmlns:a="http://schemas.openxmlformats.org/drawingml/2006/main">
          <a:fillRect/>
        </a:stretch>
      </blipFill>
      <spPr>
        <a:xfrm xmlns:a="http://schemas.openxmlformats.org/drawingml/2006/main">
          <a:off x="95251" y="40822"/>
          <a:ext cx="392140" cy="367392"/>
        </a:xfrm>
        <a:prstGeom xmlns:a="http://schemas.openxmlformats.org/drawingml/2006/main" prst="rect">
          <avLst/>
        </a:prstGeom>
        <a:ln xmlns:a="http://schemas.openxmlformats.org/drawingml/2006/main">
          <a:prstDash val="solid"/>
        </a:ln>
      </spPr>
    </pic>
    <clientData/>
  </oneCellAnchor>
</wsDr>
</file>

<file path=xl/tables/table1.xml><?xml version="1.0" encoding="utf-8"?>
<table xmlns="http://schemas.openxmlformats.org/spreadsheetml/2006/main" id="1" name="Tabla1" displayName="Tabla1" ref="B3:L261" headerRowCount="1" totalsRowShown="0" headerRowDxfId="10" headerRowBorderDxfId="9" tableBorderDxfId="8" totalsRowBorderDxfId="7">
  <autoFilter ref="B3:L261"/>
  <tableColumns count="11">
    <tableColumn id="1" name="N° Factura" dataDxfId="6">
      <calculatedColumnFormula array="1">IF(LEN(TRIM(C4))=0,"","Fact_"&amp;TEXT(SUMPRODUCT(--(LEN(TRIM($C$2:C2))&gt;0))-1,"000"))</calculatedColumnFormula>
    </tableColumn>
    <tableColumn id="2" name="Cliente" dataDxfId="5"/>
    <tableColumn id="3" name="Fecha Emisión" dataDxfId="4"/>
    <tableColumn id="4" name="Días a vencer" dataDxfId="3"/>
    <tableColumn id="5" name="Fecha Vencimiento" dataDxfId="2">
      <calculatedColumnFormula>IF(Tabla1[[#This Row],[Días a vencer]]="","",D4+E4)</calculatedColumnFormula>
    </tableColumn>
    <tableColumn id="6" name="Alertas" dataDxfId="1">
      <calculatedColumnFormula>IF(E4="","VACIO",IF(H4&lt;0,"Vencido hace "&amp;H4*-1&amp;" días",IF(H4=0,"Vence hoy",IF(H4&lt;4,"Tiene "&amp;H4&amp;" días","Faltan "&amp;H4&amp;" días"))))</calculatedColumnFormula>
    </tableColumn>
    <tableColumn id="7" name="días" dataDxfId="0">
      <calculatedColumnFormula>F4-$B$2</calculatedColumnFormula>
    </tableColumn>
    <tableColumn id="8" name="TIPO DE CUNTA"/>
    <tableColumn id="9" name="HGFHF" dataCellStyle="Hipervínculo"/>
    <tableColumn id="10" name="7867" dataCellStyle="Entrada"/>
    <tableColumn id="11" name="7868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hyperlink" Target="mailto:juanperez493943@outlook.com:juanperez493943@outlook.com" TargetMode="External" Id="rId1"/><Relationship Type="http://schemas.openxmlformats.org/officeDocument/2006/relationships/hyperlink" Target="mailto:salomnedgar@gmail.com:gearsofwar3" TargetMode="External" Id="rId2"/><Relationship Type="http://schemas.openxmlformats.org/officeDocument/2006/relationships/hyperlink" Target="mailto:a.p.2.9.43.0.4.4@gmail.com:A12345678a" TargetMode="External" Id="rId3"/><Relationship Type="http://schemas.openxmlformats.org/officeDocument/2006/relationships/hyperlink" Target="mailto:juarezomarsosa.23.83@gmail.com:Gearsofwar3" TargetMode="External" Id="rId4"/><Relationship Type="http://schemas.openxmlformats.org/officeDocument/2006/relationships/hyperlink" Target="mailto:katherine39303@outlook.com" TargetMode="External" Id="rId5"/><Relationship Type="http://schemas.openxmlformats.org/officeDocument/2006/relationships/hyperlink" Target="mailto:uiiiii10y.o.u@gmail.com:Junapee368@" TargetMode="External" Id="rId6"/><Relationship Type="http://schemas.openxmlformats.org/officeDocument/2006/relationships/hyperlink" Target="mailto:juan.p.ereez46.8@gmail.com:%20A12345pass" TargetMode="External" Id="rId7"/><Relationship Type="http://schemas.openxmlformats.org/officeDocument/2006/relationships/hyperlink" Target="mailto:j.o.n.as10101121n@gmail.com:j.o.n.as10101121n@gmail.com" TargetMode="External" Id="rId8"/><Relationship Type="http://schemas.openxmlformats.org/officeDocument/2006/relationships/hyperlink" Target="mailto:juanbos.sp.er.es@gmail.com:Gearsofwar3@@" TargetMode="External" Id="rId9"/><Relationship Type="http://schemas.openxmlformats.org/officeDocument/2006/relationships/hyperlink" Target="mailto:jf.jeie1111.1.00@gmail.com:Gearsofwar3" TargetMode="External" Id="rId10"/><Relationship Type="http://schemas.openxmlformats.org/officeDocument/2006/relationships/hyperlink" Target="mailto:hxhxg.h.4.9.4@gmail.com:/change-password/" TargetMode="External" Id="rId11"/><Relationship Type="http://schemas.openxmlformats.org/officeDocument/2006/relationships/hyperlink" Target="mailto:juanpere.e.z.4.6.8@gmail.com:change-password/" TargetMode="External" Id="rId12"/><Relationship Type="http://schemas.openxmlformats.org/officeDocument/2006/relationships/hyperlink" Target="mailto:ap29.4.3044@gmail.com:Aa12345670" TargetMode="External" Id="rId13"/><Relationship Type="http://schemas.openxmlformats.org/officeDocument/2006/relationships/hyperlink" Target="mailto:jon.a.s1.0.10.11.21n@gmail.com:jon.a.s1.0.10.11.21n@gmail.com" TargetMode="External" Id="rId14"/><Relationship Type="http://schemas.openxmlformats.org/officeDocument/2006/relationships/hyperlink" Target="mailto:juanbo.sspere.s@gmail.com:juanbo.sspere.s@gmail.com" TargetMode="External" Id="rId15"/><Relationship Type="http://schemas.openxmlformats.org/officeDocument/2006/relationships/hyperlink" Target="mailto:uiiiii10y.o.u@gmail.com:Gearsofwar3" TargetMode="External" Id="rId16"/><Relationship Type="http://schemas.openxmlformats.org/officeDocument/2006/relationships/hyperlink" Target="mailto:jfjeie11111.0.0@gmail.com:gearsofwar3" TargetMode="External" Id="rId17"/><Relationship Type="http://schemas.openxmlformats.org/officeDocument/2006/relationships/hyperlink" Target="mailto:josemanuelhuerta@prodigy.net.mx:Gearsofwar3" TargetMode="External" Id="rId18"/><Relationship Type="http://schemas.openxmlformats.org/officeDocument/2006/relationships/hyperlink" Target="mailto:josemanuelhuerta@prodigy.net.mx:Gearsofwar3" TargetMode="External" Id="rId19"/><Relationship Type="http://schemas.openxmlformats.org/officeDocument/2006/relationships/hyperlink" Target="https://www.spotify.com/mx/family/join/invite/zaxxc3BXX63C77y/" TargetMode="External" Id="rId20"/><Relationship Type="http://schemas.openxmlformats.org/officeDocument/2006/relationships/hyperlink" Target="mailto:uiiiii10y.o.u@gmail.com:Gearsofwar3" TargetMode="External" Id="rId21"/><Relationship Type="http://schemas.openxmlformats.org/officeDocument/2006/relationships/hyperlink" Target="mailto:uiiiii10y.o.u@gmail.com:Arana6868" TargetMode="External" Id="rId22"/><Relationship Type="http://schemas.openxmlformats.org/officeDocument/2006/relationships/hyperlink" Target="mailto:o.sdd.djdj.djd@gmail.com:edit/passwordedit/password" TargetMode="External" Id="rId23"/><Relationship Type="http://schemas.openxmlformats.org/officeDocument/2006/relationships/hyperlink" Target="mailto:kok.u3.39393.a@gmail.com:change-password@@" TargetMode="External" Id="rId24"/><Relationship Type="http://schemas.openxmlformats.org/officeDocument/2006/relationships/hyperlink" Target="mailto:salomnedgar@gmail.com:Gearsofwar3" TargetMode="External" Id="rId25"/><Relationship Type="http://schemas.openxmlformats.org/officeDocument/2006/relationships/hyperlink" Target="mailto:juanpereez468@gmail.com:Juanperez68" TargetMode="External" Id="rId26"/><Relationship Type="http://schemas.openxmlformats.org/officeDocument/2006/relationships/hyperlink" Target="mailto:uiiiii10y.o.u@gmail.com:Arana6868" TargetMode="External" Id="rId27"/><Relationship Type="http://schemas.openxmlformats.org/officeDocument/2006/relationships/hyperlink" Target="mailto:juanpereez468@gmail.com:Juan6869" TargetMode="External" Id="rId28"/><Relationship Type="http://schemas.openxmlformats.org/officeDocument/2006/relationships/hyperlink" Target="mailto:koku339.3.93a@gmail.com:Gearsofwar3" TargetMode="External" Id="rId29"/><Relationship Type="http://schemas.openxmlformats.org/officeDocument/2006/relationships/hyperlink" Target="mailto:koku339.3.93a@gmail.com:Passer6868@" TargetMode="External" Id="rId30"/><Relationship Type="http://schemas.openxmlformats.org/officeDocument/2006/relationships/hyperlink" Target="mailto:o.sdd.djdj.djd@gmail.com:a12345678" TargetMode="External" Id="rId31"/><Relationship Type="http://schemas.openxmlformats.org/officeDocument/2006/relationships/hyperlink" Target="mailto:juanp.er.eez468@gmail.com:change-password/" TargetMode="External" Id="rId32"/><Relationship Type="http://schemas.openxmlformats.org/officeDocument/2006/relationships/hyperlink" Target="mailto:j.o.n.as.10.101121n@gmail.com:gearsofwar3" TargetMode="External" Id="rId33"/><Relationship Type="http://schemas.openxmlformats.org/officeDocument/2006/relationships/hyperlink" Target="mailto:u.i.iiii10you@gmail.com:Gearsofwar3@@" TargetMode="External" Id="rId34"/><Relationship Type="http://schemas.openxmlformats.org/officeDocument/2006/relationships/hyperlink" Target="mailto:Jonas10101121n@gmail.com" TargetMode="External" Id="rId35"/><Relationship Type="http://schemas.openxmlformats.org/officeDocument/2006/relationships/hyperlink" Target="mailto:jupo933aa@outlook.com:gearsofwar3" TargetMode="External" Id="rId36"/><Relationship Type="http://schemas.openxmlformats.org/officeDocument/2006/relationships/hyperlink" Target="mailto:uiii.ii.10y.o.u@gmail.com:Gearsofwar3@@" TargetMode="External" Id="rId37"/><Relationship Type="http://schemas.openxmlformats.org/officeDocument/2006/relationships/hyperlink" Target="mailto:jua.nper.ee.z.4.6.8@gmail.com:Aa12345670" TargetMode="External" Id="rId38"/><Relationship Type="http://schemas.openxmlformats.org/officeDocument/2006/relationships/hyperlink" Target="mailto:uiiiii10y.o.u@gmail.com:forgotpasswordAA1" TargetMode="External" Id="rId39"/><Relationship Type="http://schemas.openxmlformats.org/officeDocument/2006/relationships/hyperlink" Target="mailto:juanperee.z.4.6.8@gmail.com:Juanperez68" TargetMode="External" Id="rId40"/><Relationship Type="http://schemas.openxmlformats.org/officeDocument/2006/relationships/hyperlink" Target="mailto:jua.npe.re.e.z.4.6.8@gmail.com:change-password/" TargetMode="External" Id="rId41"/><Relationship Type="http://schemas.openxmlformats.org/officeDocument/2006/relationships/hyperlink" Target="mailto:jon.as1.010.11.21n@gmail.com:password-reset@@" TargetMode="External" Id="rId42"/><Relationship Type="http://schemas.openxmlformats.org/officeDocument/2006/relationships/hyperlink" Target="mailto:k.ok.u339.3.93a@gmail.com:k.ok.u339.3.93a@gmail.com" TargetMode="External" Id="rId43"/><Relationship Type="http://schemas.openxmlformats.org/officeDocument/2006/relationships/hyperlink" Target="mailto:uiiiii10y.o.u@gmail.com:Arana6868" TargetMode="External" Id="rId44"/><Relationship Type="http://schemas.openxmlformats.org/officeDocument/2006/relationships/hyperlink" Target="mailto:ap2.9.4304.4@gmail.com:?updateType" TargetMode="External" Id="rId45"/><Relationship Type="http://schemas.openxmlformats.org/officeDocument/2006/relationships/hyperlink" Target="mailto:mogapestoso33@outlook.com:gearsofwar3451" TargetMode="External" Id="rId46"/><Relationship Type="http://schemas.openxmlformats.org/officeDocument/2006/relationships/table" Target="/xl/tables/table1.xml" Id="rId47"/></Relationships>
</file>

<file path=xl/worksheets/_rels/sheet2.xml.rels><Relationships xmlns="http://schemas.openxmlformats.org/package/2006/relationships"><Relationship Type="http://schemas.openxmlformats.org/officeDocument/2006/relationships/hyperlink" Target="https://www.youtube.com/eltiotech" TargetMode="External" Id="rId1"/><Relationship Type="http://schemas.openxmlformats.org/officeDocument/2006/relationships/hyperlink" Target="https://eltiotech.com/cursos-gratis-de-excel-basico-intermedio-avanzado/" TargetMode="External" Id="rId2"/><Relationship Type="http://schemas.openxmlformats.org/officeDocument/2006/relationships/drawing" Target="/xl/drawings/drawing1.xml" Id="rId3"/></Relationships>
</file>

<file path=xl/worksheets/sheet1.xml><?xml version="1.0" encoding="utf-8"?>
<worksheet xmlns="http://schemas.openxmlformats.org/spreadsheetml/2006/main">
  <sheetPr codeName="Hoja1">
    <outlinePr summaryBelow="1" summaryRight="1"/>
    <pageSetUpPr/>
  </sheetPr>
  <dimension ref="B2:L261"/>
  <sheetViews>
    <sheetView showGridLines="0" tabSelected="1" topLeftCell="A65" zoomScaleNormal="100" workbookViewId="0">
      <selection activeCell="C82" sqref="C82"/>
    </sheetView>
  </sheetViews>
  <sheetFormatPr baseColWidth="10" defaultColWidth="10.7109375" defaultRowHeight="15"/>
  <cols>
    <col width="2.85546875" customWidth="1" style="83" min="1" max="1"/>
    <col width="25.140625" customWidth="1" style="83" min="3" max="3"/>
    <col width="11.5703125" customWidth="1" style="83" min="4" max="5"/>
    <col width="13.42578125" customWidth="1" style="83" min="6" max="6"/>
    <col width="15.7109375" customWidth="1" style="83" min="7" max="7"/>
    <col width="0.28515625" customWidth="1" style="83" min="8" max="8"/>
    <col width="18.42578125" customWidth="1" style="83" min="9" max="9"/>
    <col width="65.140625" customWidth="1" style="83" min="10" max="10"/>
    <col width="50.42578125" customWidth="1" style="83" min="11" max="11"/>
    <col width="59.140625" customWidth="1" style="83" min="12" max="12"/>
  </cols>
  <sheetData>
    <row r="1" ht="15.75" customHeight="1" s="83" thickBot="1"/>
    <row r="2" ht="15.75" customHeight="1" s="83" thickBot="1">
      <c r="B2" s="1">
        <f>TODAY()</f>
        <v/>
      </c>
      <c r="D2" s="12">
        <f>COUNTIF(Tabla1[días],"&lt;0")</f>
        <v/>
      </c>
      <c r="E2" s="12">
        <f>COUNTIF(Tabla1[días],"=0")</f>
        <v/>
      </c>
      <c r="F2" s="12">
        <f>COUNTIFS(Tabla1[días],"&gt;0",Tabla1[días],"&lt;4")</f>
        <v/>
      </c>
      <c r="G2" s="12">
        <f>COUNTIF(Tabla1[días],"&gt;3")</f>
        <v/>
      </c>
      <c r="H2" s="12" t="n"/>
    </row>
    <row r="3">
      <c r="B3" s="9" t="inlineStr">
        <is>
          <t>N° Factura</t>
        </is>
      </c>
      <c r="C3" s="10" t="inlineStr">
        <is>
          <t>Cliente</t>
        </is>
      </c>
      <c r="D3" s="10" t="inlineStr">
        <is>
          <t>Fecha Emisión</t>
        </is>
      </c>
      <c r="E3" s="10" t="inlineStr">
        <is>
          <t>Días a vencer</t>
        </is>
      </c>
      <c r="F3" s="10" t="inlineStr">
        <is>
          <t>Fecha Vencimiento</t>
        </is>
      </c>
      <c r="G3" s="10" t="inlineStr">
        <is>
          <t>Alertas</t>
        </is>
      </c>
      <c r="H3" s="11" t="inlineStr">
        <is>
          <t>días</t>
        </is>
      </c>
      <c r="I3" s="57" t="inlineStr">
        <is>
          <t>TIPO DE CUNTA</t>
        </is>
      </c>
      <c r="J3" s="57" t="inlineStr">
        <is>
          <t>HGFHF</t>
        </is>
      </c>
      <c r="K3" s="57" t="inlineStr">
        <is>
          <t>7867</t>
        </is>
      </c>
      <c r="L3" s="60" t="inlineStr">
        <is>
          <t>7868</t>
        </is>
      </c>
    </row>
    <row r="4">
      <c r="B4" s="4">
        <f t="array" ref="B4">IF(LEN(TRIM(C4))=0,"","Fact_"&amp;TEXT(SUMPRODUCT(--(LEN(TRIM($C$2:C2))&gt;0))-1,"000"))</f>
        <v/>
      </c>
      <c r="C4" s="2" t="inlineStr">
        <is>
          <t>Federico valladares</t>
        </is>
      </c>
      <c r="D4" s="3" t="n">
        <v>46076</v>
      </c>
      <c r="E4" s="2" t="n">
        <v>90</v>
      </c>
      <c r="F4" s="3">
        <f>IF(Tabla1[[#This Row],[Días a vencer]]="","",D4+E4)</f>
        <v/>
      </c>
      <c r="G4" s="2">
        <f>IF(E4="","VACIO",IF(H4&lt;0,"Vencido hace "&amp;H4*-1&amp;" días",IF(H4=0,"Vence hoy",IF(H4&lt;4,"Tiene "&amp;H4&amp;" días","Faltan "&amp;H4&amp;" días"))))</f>
        <v/>
      </c>
      <c r="H4" s="5">
        <f>F4-$B$2</f>
        <v/>
      </c>
      <c r="I4" s="39" t="inlineStr">
        <is>
          <t>Vix plus</t>
        </is>
      </c>
      <c r="J4" s="37" t="inlineStr">
        <is>
          <t>juanperez4838383@gmail.com: juanperez4838383@gmail.com</t>
        </is>
      </c>
      <c r="K4" s="38" t="n"/>
    </row>
    <row r="5">
      <c r="B5" s="4">
        <f t="array" ref="B5">IF(LEN(TRIM(C5))=0,"","Fact_"&amp;TEXT(SUMPRODUCT(--(LEN(TRIM($C$2:C3))&gt;0))-1,"000"))</f>
        <v/>
      </c>
      <c r="C5" s="2" t="inlineStr">
        <is>
          <t>Federico valladares</t>
        </is>
      </c>
      <c r="D5" s="3" t="n">
        <v>46076</v>
      </c>
      <c r="E5" s="2" t="n">
        <v>365</v>
      </c>
      <c r="F5" s="3">
        <f>IF(Tabla1[[#This Row],[Días a vencer]]="","",D5+E5)</f>
        <v/>
      </c>
      <c r="G5" s="2">
        <f>IF(E5="","VACIO",IF(H5&lt;0,"Vencido hace "&amp;H5*-1&amp;" días",IF(H5=0,"Vence hoy",IF(H5&lt;4,"Tiene "&amp;H5&amp;" días","Faltan "&amp;H5&amp;" días"))))</f>
        <v/>
      </c>
      <c r="H5" s="5">
        <f>F5-$B$2</f>
        <v/>
      </c>
      <c r="I5" s="49" t="inlineStr">
        <is>
          <t>Max</t>
        </is>
      </c>
      <c r="J5" s="67" t="inlineStr">
        <is>
          <t>josemanuelhuerta@prodigy.net.mx:Gearsofwar3</t>
        </is>
      </c>
      <c r="K5" s="38" t="n"/>
    </row>
    <row r="6">
      <c r="B6" s="4">
        <f t="array" ref="B6">IF(LEN(TRIM(C6))=0,"","Fact_"&amp;TEXT(SUMPRODUCT(--(LEN(TRIM($C$2:C4))&gt;0))-1,"000"))</f>
        <v/>
      </c>
      <c r="C6" s="2" t="inlineStr">
        <is>
          <t>Federico valladares</t>
        </is>
      </c>
      <c r="D6" s="3" t="n">
        <v>46122</v>
      </c>
      <c r="E6" s="2" t="n">
        <v>365</v>
      </c>
      <c r="F6" s="3">
        <f>IF(Tabla1[[#This Row],[Días a vencer]]="","",D6+E6)</f>
        <v/>
      </c>
      <c r="G6" s="2">
        <f>IF(E6="","VACIO",IF(H6&lt;0,"Vencido hace "&amp;H6*-1&amp;" días",IF(H6=0,"Vence hoy",IF(H6&lt;4,"Tiene "&amp;H6&amp;" días","Faltan "&amp;H6&amp;" días"))))</f>
        <v/>
      </c>
      <c r="H6" s="5">
        <f>F6-$B$2</f>
        <v/>
      </c>
      <c r="I6" s="81" t="inlineStr">
        <is>
          <t>Disney</t>
        </is>
      </c>
      <c r="J6" s="37" t="inlineStr">
        <is>
          <t>juare.zo.mars.o.sa.2383@gmail.com:gearsofwar3</t>
        </is>
      </c>
      <c r="K6" s="38" t="n"/>
    </row>
    <row r="7">
      <c r="B7" s="4">
        <f t="array" ref="B7">IF(LEN(TRIM(C7))=0,"","Fact_"&amp;TEXT(SUMPRODUCT(--(LEN(TRIM($C$2:C5))&gt;0))-1,"000"))</f>
        <v/>
      </c>
      <c r="C7" s="2" t="inlineStr">
        <is>
          <t xml:space="preserve">Christopher Green </t>
        </is>
      </c>
      <c r="D7" s="3" t="n">
        <v>45872</v>
      </c>
      <c r="E7" s="2" t="n">
        <v>90</v>
      </c>
      <c r="F7" s="3">
        <f>IF(Tabla1[[#This Row],[Días a vencer]]="","",D7+E7)</f>
        <v/>
      </c>
      <c r="G7" s="2">
        <f>IF(E7="","VACIO",IF(H7&lt;0,"Vencido hace "&amp;H7*-1&amp;" días",IF(H7=0,"Vence hoy",IF(H7&lt;4,"Tiene "&amp;H7&amp;" días","Faltan "&amp;H7&amp;" días"))))</f>
        <v/>
      </c>
      <c r="H7" s="5">
        <f>F7-$B$2</f>
        <v/>
      </c>
      <c r="I7" s="42" t="inlineStr">
        <is>
          <t xml:space="preserve">Spotify </t>
        </is>
      </c>
      <c r="J7" s="67" t="inlineStr">
        <is>
          <t>juanperez493943@outlook.com:juanperez493943@outlook.com</t>
        </is>
      </c>
      <c r="K7" s="38" t="n"/>
    </row>
    <row r="8">
      <c r="B8" s="4">
        <f t="array" ref="B8">IF(LEN(TRIM(C8))=0,"","Fact_"&amp;TEXT(SUMPRODUCT(--(LEN(TRIM($C$2:C6))&gt;0))-1,"000"))</f>
        <v/>
      </c>
      <c r="C8" s="2" t="inlineStr">
        <is>
          <t>Manuel Ramírez</t>
        </is>
      </c>
      <c r="D8" s="28" t="n">
        <v>45885</v>
      </c>
      <c r="E8" s="2" t="n">
        <v>420</v>
      </c>
      <c r="F8" s="3">
        <f>IF(Tabla1[[#This Row],[Días a vencer]]="","",D8+E8)</f>
        <v/>
      </c>
      <c r="G8" s="2">
        <f>IF(E8="","VACIO",IF(H8&lt;0,"Vencido hace "&amp;H8*-1&amp;" días",IF(H8=0,"Vence hoy",IF(H8&lt;4,"Tiene "&amp;H8&amp;" días","Faltan "&amp;H8&amp;" días"))))</f>
        <v/>
      </c>
      <c r="H8" s="5">
        <f>F8-$B$2</f>
        <v/>
      </c>
      <c r="I8" s="39" t="inlineStr">
        <is>
          <t>Vix plus</t>
        </is>
      </c>
      <c r="J8" s="37" t="inlineStr">
        <is>
          <t>u.i.iiii10y.o.u@gmail.com:gearsofwar3</t>
        </is>
      </c>
      <c r="K8" s="38" t="n"/>
    </row>
    <row r="9">
      <c r="B9" s="4">
        <f t="array" ref="B9">IF(LEN(TRIM(C9))=0,"","Fact_"&amp;TEXT(SUMPRODUCT(--(LEN(TRIM($C$2:C7))&gt;0))-1,"000"))</f>
        <v/>
      </c>
      <c r="C9" s="2" t="inlineStr">
        <is>
          <t>Manuel Ramírez</t>
        </is>
      </c>
      <c r="D9" s="3" t="n">
        <v>45885</v>
      </c>
      <c r="E9" s="2" t="n">
        <v>420</v>
      </c>
      <c r="F9" s="3">
        <f>IF(Tabla1[[#This Row],[Días a vencer]]="","",D9+E9)</f>
        <v/>
      </c>
      <c r="G9" s="2">
        <f>IF(E9="","VACIO",IF(H9&lt;0,"Vencido hace "&amp;H9*-1&amp;" días",IF(H9=0,"Vence hoy",IF(H9&lt;4,"Tiene "&amp;H9&amp;" días","Faltan "&amp;H9&amp;" días"))))</f>
        <v/>
      </c>
      <c r="H9" s="5">
        <f>F9-$B$2</f>
        <v/>
      </c>
      <c r="I9" s="81" t="inlineStr">
        <is>
          <t>Disney</t>
        </is>
      </c>
      <c r="J9" s="37" t="inlineStr">
        <is>
          <t>salomnedgar@gmail.com:gearsofwar3</t>
        </is>
      </c>
      <c r="K9" s="38" t="n"/>
    </row>
    <row r="10">
      <c r="B10" s="4">
        <f t="array" ref="B10">IF(LEN(TRIM(C10))=0,"","Fact_"&amp;TEXT(SUMPRODUCT(--(LEN(TRIM($C$2:C8))&gt;0))-1,"000"))</f>
        <v/>
      </c>
      <c r="C10" s="2" t="inlineStr">
        <is>
          <t xml:space="preserve">Osvaldo carnicería </t>
        </is>
      </c>
      <c r="D10" s="3" t="n">
        <v>45912</v>
      </c>
      <c r="E10" s="2" t="n">
        <v>365</v>
      </c>
      <c r="F10" s="3">
        <f>IF(Tabla1[[#This Row],[Días a vencer]]="","",D10+E10)</f>
        <v/>
      </c>
      <c r="G10" s="2">
        <f>IF(E10="","VACIO",IF(H10&lt;0,"Vencido hace "&amp;H10*-1&amp;" días",IF(H10=0,"Vence hoy",IF(H10&lt;4,"Tiene "&amp;H10&amp;" días","Faltan "&amp;H10&amp;" días"))))</f>
        <v/>
      </c>
      <c r="H10" s="5">
        <f>F10-$B$2</f>
        <v/>
      </c>
      <c r="I10" s="49" t="inlineStr">
        <is>
          <t>Max</t>
        </is>
      </c>
      <c r="J10" s="37" t="inlineStr">
        <is>
          <t>uiiiii10y.o.u@gmail.com:Arana6868@@</t>
        </is>
      </c>
      <c r="K10" s="38" t="n"/>
    </row>
    <row r="11">
      <c r="B11" s="4">
        <f t="array" ref="B11">IF(LEN(TRIM(C11))=0,"","Fact_"&amp;TEXT(SUMPRODUCT(--(LEN(TRIM($C$2:C9))&gt;0))-1,"000"))</f>
        <v/>
      </c>
      <c r="C11" s="2" t="inlineStr">
        <is>
          <t xml:space="preserve">Osvaldo carnicería </t>
        </is>
      </c>
      <c r="D11" s="3" t="n">
        <v>46139</v>
      </c>
      <c r="E11" s="2" t="n">
        <v>365</v>
      </c>
      <c r="F11" s="7">
        <f>IF(Tabla1[[#This Row],[Días a vencer]]="","",D11+E11)</f>
        <v/>
      </c>
      <c r="G11" s="6">
        <f>IF(E11="","VACIO",IF(H11&lt;0,"Vencido hace "&amp;H11*-1&amp;" días",IF(H11=0,"Vence hoy",IF(H11&lt;4,"Tiene "&amp;H11&amp;" días","Faltan "&amp;H11&amp;" días"))))</f>
        <v/>
      </c>
      <c r="H11" s="8">
        <f>F11-$B$2</f>
        <v/>
      </c>
      <c r="I11" s="81" t="inlineStr">
        <is>
          <t>Disney</t>
        </is>
      </c>
      <c r="J11" s="37" t="inlineStr">
        <is>
          <t>salomnedgar@gmail.com:gearsofwar3</t>
        </is>
      </c>
      <c r="K11" s="38" t="n"/>
    </row>
    <row r="12">
      <c r="B12" s="4">
        <f t="array" ref="B12">IF(LEN(TRIM(C12))=0,"","Fact_"&amp;TEXT(SUMPRODUCT(--(LEN(TRIM($C$2:C10))&gt;0))-1,"000"))</f>
        <v/>
      </c>
      <c r="C12" s="2" t="inlineStr">
        <is>
          <t>VENDER</t>
        </is>
      </c>
      <c r="D12" s="3" t="n">
        <v>45154</v>
      </c>
      <c r="E12" s="2" t="n">
        <v>420</v>
      </c>
      <c r="F12" s="21">
        <f>IF(Tabla1[[#This Row],[Días a vencer]]="","",D12+E12)</f>
        <v/>
      </c>
      <c r="G12" s="22">
        <f>IF(E12="","VACIO",IF(H12&lt;0,"Vencido hace "&amp;H12*-1&amp;" días",IF(H12=0,"Vence hoy",IF(H12&lt;4,"Tiene "&amp;H12&amp;" días","Faltan "&amp;H12&amp;" días"))))</f>
        <v/>
      </c>
      <c r="H12" s="23">
        <f>F12-$B$2</f>
        <v/>
      </c>
      <c r="I12" s="84" t="inlineStr">
        <is>
          <t>Disney</t>
        </is>
      </c>
      <c r="J12" s="37" t="inlineStr">
        <is>
          <t>juannan.na.0.00@gmail.com:Arana7878@</t>
        </is>
      </c>
      <c r="K12" s="38" t="n"/>
    </row>
    <row r="13">
      <c r="B13" s="4">
        <f t="array" ref="B13">IF(LEN(TRIM(C13))=0,"","Fact_"&amp;TEXT(SUMPRODUCT(--(LEN(TRIM($C$2:C11))&gt;0))-1,"000"))</f>
        <v/>
      </c>
      <c r="C13" s="2" t="inlineStr">
        <is>
          <t xml:space="preserve">Diego Torres </t>
        </is>
      </c>
      <c r="D13" s="28" t="n">
        <v>45933</v>
      </c>
      <c r="E13" s="2" t="n">
        <v>365</v>
      </c>
      <c r="F13" s="21">
        <f>IF(Tabla1[[#This Row],[Días a vencer]]="","",D13+E13)</f>
        <v/>
      </c>
      <c r="G13" s="22">
        <f>IF(E13="","VACIO",IF(H13&lt;0,"Vencido hace "&amp;H13*-1&amp;" días",IF(H13=0,"Vence hoy",IF(H13&lt;4,"Tiene "&amp;H13&amp;" días","Faltan "&amp;H13&amp;" días"))))</f>
        <v/>
      </c>
      <c r="H13" s="23">
        <f>F13-$B$2</f>
        <v/>
      </c>
      <c r="I13" s="42" t="inlineStr">
        <is>
          <t xml:space="preserve">Spotify </t>
        </is>
      </c>
      <c r="J13" s="44" t="inlineStr">
        <is>
          <t>a.p.2.9.43.0.4.4@gmail.com:A12345678a</t>
        </is>
      </c>
      <c r="K13" s="73" t="inlineStr">
        <is>
          <t>admin</t>
        </is>
      </c>
    </row>
    <row r="14">
      <c r="B14" s="4">
        <f t="array" ref="B14">IF(LEN(TRIM(C14))=0,"","Fact_"&amp;TEXT(SUMPRODUCT(--(LEN(TRIM($C$2:C12))&gt;0))-1,"000"))</f>
        <v/>
      </c>
      <c r="C14" s="2" t="inlineStr">
        <is>
          <t>maik</t>
        </is>
      </c>
      <c r="D14" s="3" t="n">
        <v>45761</v>
      </c>
      <c r="E14" s="2" t="n">
        <v>365</v>
      </c>
      <c r="F14" s="21">
        <f>IF(Tabla1[[#This Row],[Días a vencer]]="","",D14+E14)</f>
        <v/>
      </c>
      <c r="G14" s="22">
        <f>IF(E14="","VACIO",IF(H14&lt;0,"Vencido hace "&amp;H14*-1&amp;" días",IF(H14=0,"Vence hoy",IF(H14&lt;4,"Tiene "&amp;H14&amp;" días","Faltan "&amp;H14&amp;" días"))))</f>
        <v/>
      </c>
      <c r="H14" s="23">
        <f>F14-$B$2</f>
        <v/>
      </c>
      <c r="I14" s="42" t="inlineStr">
        <is>
          <t xml:space="preserve">Spotify </t>
        </is>
      </c>
      <c r="J14" s="37" t="inlineStr">
        <is>
          <t>juarezomarsosa.23.83@gmail.com:Gearsofwar3</t>
        </is>
      </c>
      <c r="K14" s="38" t="n"/>
    </row>
    <row r="15">
      <c r="B15" s="4">
        <f t="array" ref="B15">IF(LEN(TRIM(C15))=0,"","Fact_"&amp;TEXT(SUMPRODUCT(--(LEN(TRIM($C$2:C13))&gt;0))-1,"000"))</f>
        <v/>
      </c>
      <c r="C15" s="2" t="n"/>
      <c r="D15" s="3" t="n">
        <v>46139</v>
      </c>
      <c r="E15" s="2" t="n"/>
      <c r="F15" s="21">
        <f>IF(Tabla1[[#This Row],[Días a vencer]]="","",D15+E15)</f>
        <v/>
      </c>
      <c r="G15" s="22">
        <f>IF(E15="","VACIO",IF(H15&lt;0,"Vencido hace "&amp;H15*-1&amp;" días",IF(H15=0,"Vence hoy",IF(H15&lt;4,"Tiene "&amp;H15&amp;" días","Faltan "&amp;H15&amp;" días"))))</f>
        <v/>
      </c>
      <c r="H15" s="23">
        <f>F15-$B$2</f>
        <v/>
      </c>
      <c r="I15" s="84" t="n"/>
      <c r="K15" s="38" t="n"/>
    </row>
    <row r="16">
      <c r="B16" s="4">
        <f t="array" ref="B16">IF(LEN(TRIM(C16))=0,"","Fact_"&amp;TEXT(SUMPRODUCT(--(LEN(TRIM($C$2:C14))&gt;0))-1,"000"))</f>
        <v/>
      </c>
      <c r="C16" s="2" t="n"/>
      <c r="D16" s="3" t="n">
        <v>46139</v>
      </c>
      <c r="E16" s="2" t="n"/>
      <c r="F16" s="21">
        <f>IF(Tabla1[[#This Row],[Días a vencer]]="","",D16+E16)</f>
        <v/>
      </c>
      <c r="G16" s="22">
        <f>IF(E16="","VACIO",IF(H16&lt;0,"Vencido hace "&amp;H16*-1&amp;" días",IF(H16=0,"Vence hoy",IF(H16&lt;4,"Tiene "&amp;H16&amp;" días","Faltan "&amp;H16&amp;" días"))))</f>
        <v/>
      </c>
      <c r="H16" s="23">
        <f>F16-$B$2</f>
        <v/>
      </c>
      <c r="I16" s="84" t="n"/>
      <c r="J16" s="37" t="n"/>
      <c r="K16" s="38" t="n"/>
    </row>
    <row r="17">
      <c r="B17" s="4">
        <f t="array" ref="B17">IF(LEN(TRIM(C17))=0,"","Fact_"&amp;TEXT(SUMPRODUCT(--(LEN(TRIM($C$2:C15))&gt;0))-1,"000"))</f>
        <v/>
      </c>
      <c r="C17" s="2" t="n"/>
      <c r="D17" s="3" t="n">
        <v>46139</v>
      </c>
      <c r="E17" s="2" t="n"/>
      <c r="F17" s="21">
        <f>IF(Tabla1[[#This Row],[Días a vencer]]="","",D17+E17)</f>
        <v/>
      </c>
      <c r="G17" s="22">
        <f>IF(E17="","VACIO",IF(H17&lt;0,"Vencido hace "&amp;H17*-1&amp;" días",IF(H17=0,"Vence hoy",IF(H17&lt;4,"Tiene "&amp;H17&amp;" días","Faltan "&amp;H17&amp;" días"))))</f>
        <v/>
      </c>
      <c r="H17" s="23">
        <f>F17-$B$2</f>
        <v/>
      </c>
      <c r="I17" s="84" t="n"/>
      <c r="J17" s="46" t="n"/>
      <c r="K17" s="38" t="n"/>
    </row>
    <row r="18">
      <c r="B18" s="4">
        <f t="array" ref="B18">IF(LEN(TRIM(C18))=0,"","Fact_"&amp;TEXT(SUMPRODUCT(--(LEN(TRIM($C$2:C16))&gt;0))-1,"000"))</f>
        <v/>
      </c>
      <c r="C18" s="2" t="n"/>
      <c r="D18" s="7" t="n">
        <v>45419</v>
      </c>
      <c r="E18" s="6" t="n"/>
      <c r="F18" s="21">
        <f>IF(Tabla1[[#This Row],[Días a vencer]]="","",D18+E18)</f>
        <v/>
      </c>
      <c r="G18" s="22">
        <f>IF(E18="","VACIO",IF(H18&lt;0,"Vencido hace "&amp;H18*-1&amp;" días",IF(H18=0,"Vence hoy",IF(H18&lt;4,"Tiene "&amp;H18&amp;" días","Faltan "&amp;H18&amp;" días"))))</f>
        <v/>
      </c>
      <c r="H18" s="23">
        <f>F18-$B$2</f>
        <v/>
      </c>
      <c r="I18" s="84" t="n"/>
      <c r="J18" s="37" t="n"/>
      <c r="K18" s="38" t="n"/>
    </row>
    <row r="19">
      <c r="B19" s="4">
        <f t="array" ref="B19">IF(LEN(TRIM(C19))=0,"","Fact_"&amp;TEXT(SUMPRODUCT(--(LEN(TRIM($C$2:C17))&gt;0))-1,"000"))</f>
        <v/>
      </c>
      <c r="C19" s="2" t="n"/>
      <c r="D19" s="28" t="n">
        <v>45492</v>
      </c>
      <c r="E19" s="2" t="n"/>
      <c r="F19" s="24">
        <f>IF(Tabla1[[#This Row],[Días a vencer]]="","",D19+E19)</f>
        <v/>
      </c>
      <c r="G19" s="25">
        <f>IF(E19="","VACIO",IF(H19&lt;0,"Vencido hace "&amp;H19*-1&amp;" días",IF(H19=0,"Vence hoy",IF(H19&lt;4,"Tiene "&amp;H19&amp;" días","Faltan "&amp;H19&amp;" días"))))</f>
        <v/>
      </c>
      <c r="H19" s="26">
        <f>F19-$B$2</f>
        <v/>
      </c>
      <c r="I19" s="84" t="n"/>
      <c r="J19" s="67" t="n"/>
      <c r="K19" s="38" t="n"/>
    </row>
    <row r="20">
      <c r="B20" s="4">
        <f t="array" ref="B20">IF(LEN(TRIM(C20))=0,"","Fact_"&amp;TEXT(SUMPRODUCT(--(LEN(TRIM($C$2:C18))&gt;0))-1,"000"))</f>
        <v/>
      </c>
      <c r="C20" s="2" t="n"/>
      <c r="D20" s="3" t="n">
        <v>45597</v>
      </c>
      <c r="E20" s="2" t="n"/>
      <c r="F20" s="21">
        <f>IF(Tabla1[[#This Row],[Días a vencer]]="","",D20+E20)</f>
        <v/>
      </c>
      <c r="G20" s="22">
        <f>IF(E20="","VACIO",IF(H20&lt;0,"Vencido hace "&amp;H20*-1&amp;" días",IF(H20=0,"Vence hoy",IF(H20&lt;4,"Tiene "&amp;H20&amp;" días","Faltan "&amp;H20&amp;" días"))))</f>
        <v/>
      </c>
      <c r="H20" s="23">
        <f>F20-$B$2</f>
        <v/>
      </c>
      <c r="I20" s="84" t="n"/>
      <c r="J20" s="79" t="n"/>
      <c r="K20" s="38" t="n"/>
    </row>
    <row r="21">
      <c r="B21" s="4">
        <f t="array" ref="B21">IF(LEN(TRIM(C21))=0,"","Fact_"&amp;TEXT(SUMPRODUCT(--(LEN(TRIM($C$2:C19))&gt;0))-1,"000"))</f>
        <v/>
      </c>
      <c r="C21" s="2" t="inlineStr">
        <is>
          <t>Federico Valladares</t>
        </is>
      </c>
      <c r="D21" s="28" t="n">
        <v>46011</v>
      </c>
      <c r="E21" s="2" t="n">
        <v>365</v>
      </c>
      <c r="F21" s="21">
        <f>IF(Tabla1[[#This Row],[Días a vencer]]="","",D21+E21)</f>
        <v/>
      </c>
      <c r="G21" s="22">
        <f>IF(E21="","VACIO",IF(H21&lt;0,"Vencido hace "&amp;H21*-1&amp;" días",IF(H21=0,"Vence hoy",IF(H21&lt;4,"Tiene "&amp;H21&amp;" días","Faltan "&amp;H21&amp;" días"))))</f>
        <v/>
      </c>
      <c r="H21" s="23">
        <f>F21-$B$2</f>
        <v/>
      </c>
      <c r="I21" s="42" t="inlineStr">
        <is>
          <t xml:space="preserve">Spotify </t>
        </is>
      </c>
      <c r="J21" s="37" t="inlineStr">
        <is>
          <t>katherine39303@outlook.com</t>
        </is>
      </c>
      <c r="K21" s="38" t="n"/>
    </row>
    <row r="22">
      <c r="B22" s="4">
        <f t="array" ref="B22">IF(LEN(TRIM(C22))=0,"","Fact_"&amp;TEXT(SUMPRODUCT(--(LEN(TRIM($C$2:C20))&gt;0))-1,"000"))</f>
        <v/>
      </c>
      <c r="C22" s="2" t="n"/>
      <c r="D22" s="28" t="n">
        <v>45396</v>
      </c>
      <c r="E22" s="2" t="n"/>
      <c r="F22" s="21">
        <f>IF(Tabla1[[#This Row],[Días a vencer]]="","",D22+E22)</f>
        <v/>
      </c>
      <c r="G22" s="22">
        <f>IF(E22="","VACIO",IF(H22&lt;0,"Vencido hace "&amp;H22*-1&amp;" días",IF(H22=0,"Vence hoy",IF(H22&lt;4,"Tiene "&amp;H22&amp;" días","Faltan "&amp;H22&amp;" días"))))</f>
        <v/>
      </c>
      <c r="H22" s="23">
        <f>F22-$B$2</f>
        <v/>
      </c>
      <c r="I22" s="84" t="n"/>
      <c r="J22" s="37" t="n"/>
      <c r="K22" s="38" t="n"/>
    </row>
    <row r="23">
      <c r="B23" s="4">
        <f t="array" ref="B23">IF(LEN(TRIM(C23))=0,"","Fact_"&amp;TEXT(SUMPRODUCT(--(LEN(TRIM($C$2:C21))&gt;0))-1,"000"))</f>
        <v/>
      </c>
      <c r="C23" s="2" t="n"/>
      <c r="D23" s="28" t="n">
        <v>45339</v>
      </c>
      <c r="E23" s="2" t="n"/>
      <c r="F23" s="21">
        <f>IF(Tabla1[[#This Row],[Días a vencer]]="","",D23+E23)</f>
        <v/>
      </c>
      <c r="G23" s="22">
        <f>IF(E23="","VACIO",IF(H23&lt;0,"Vencido hace "&amp;H23*-1&amp;" días",IF(H23=0,"Vence hoy",IF(H23&lt;4,"Tiene "&amp;H23&amp;" días","Faltan "&amp;H23&amp;" días"))))</f>
        <v/>
      </c>
      <c r="H23" s="23">
        <f>F23-$B$2</f>
        <v/>
      </c>
      <c r="I23" s="84" t="n"/>
      <c r="K23" s="38" t="n"/>
    </row>
    <row r="24">
      <c r="B24" s="4">
        <f t="array" ref="B24">IF(LEN(TRIM(C24))=0,"","Fact_"&amp;TEXT(SUMPRODUCT(--(LEN(TRIM($C$2:C22))&gt;0))-1,"000"))</f>
        <v/>
      </c>
      <c r="C24" s="2" t="inlineStr">
        <is>
          <t>VENDER</t>
        </is>
      </c>
      <c r="D24" s="28" t="n">
        <v>45796</v>
      </c>
      <c r="E24" s="2" t="n"/>
      <c r="F24" s="21">
        <f>IF(Tabla1[[#This Row],[Días a vencer]]="","",D24+E24)</f>
        <v/>
      </c>
      <c r="G24" s="22">
        <f>IF(E24="","VACIO",IF(H24&lt;0,"Vencido hace "&amp;H24*-1&amp;" días",IF(H24=0,"Vence hoy",IF(H24&lt;4,"Tiene "&amp;H24&amp;" días","Faltan "&amp;H24&amp;" días"))))</f>
        <v/>
      </c>
      <c r="H24" s="23">
        <f>F24-$B$2</f>
        <v/>
      </c>
      <c r="I24" s="49" t="inlineStr">
        <is>
          <t>HBO Max</t>
        </is>
      </c>
      <c r="J24" s="37" t="inlineStr">
        <is>
          <t>uiiiii10y.o.u@gmail.com:Junapee368@</t>
        </is>
      </c>
      <c r="K24" s="78" t="inlineStr">
        <is>
          <t xml:space="preserve">VENDER___VENDER___VENDER   </t>
        </is>
      </c>
    </row>
    <row r="25">
      <c r="B25" s="4">
        <f t="array" ref="B25">IF(LEN(TRIM(C25))=0,"","Fact_"&amp;TEXT(SUMPRODUCT(--(LEN(TRIM($C$2:C23))&gt;0))-1,"000"))</f>
        <v/>
      </c>
      <c r="C25" s="2" t="inlineStr">
        <is>
          <t>VENDER</t>
        </is>
      </c>
      <c r="D25" s="28" t="n">
        <v>45342</v>
      </c>
      <c r="E25" s="2" t="n"/>
      <c r="F25" s="21">
        <f>IF(Tabla1[[#This Row],[Días a vencer]]="","",D25+E25)</f>
        <v/>
      </c>
      <c r="G25" s="22">
        <f>IF(E25="","VACIO",IF(H25&lt;0,"Vencido hace "&amp;H25*-1&amp;" días",IF(H25=0,"Vence hoy",IF(H25&lt;4,"Tiene "&amp;H25&amp;" días","Faltan "&amp;H25&amp;" días"))))</f>
        <v/>
      </c>
      <c r="H25" s="23">
        <f>F25-$B$2</f>
        <v/>
      </c>
      <c r="I25" s="42" t="inlineStr">
        <is>
          <t xml:space="preserve">Spotify </t>
        </is>
      </c>
      <c r="J25" s="37" t="inlineStr">
        <is>
          <t>juan.p.ereez46.8@gmail.com: A12345pass</t>
        </is>
      </c>
      <c r="K25" s="38" t="n"/>
    </row>
    <row r="26">
      <c r="B26" s="4">
        <f t="array" ref="B26">IF(LEN(TRIM(C26))=0,"","Fact_"&amp;TEXT(SUMPRODUCT(--(LEN(TRIM($C$2:C24))&gt;0))-1,"000"))</f>
        <v/>
      </c>
      <c r="C26" s="2" t="n"/>
      <c r="D26" s="28" t="n">
        <v>45240</v>
      </c>
      <c r="E26" s="2" t="n"/>
      <c r="F26" s="21">
        <f>IF(Tabla1[[#This Row],[Días a vencer]]="","",D26+E26)</f>
        <v/>
      </c>
      <c r="G26" s="22">
        <f>IF(E26="","VACIO",IF(H26&lt;0,"Vencido hace "&amp;H26*-1&amp;" días",IF(H26=0,"Vence hoy",IF(H26&lt;4,"Tiene "&amp;H26&amp;" días","Faltan "&amp;H26&amp;" días"))))</f>
        <v/>
      </c>
      <c r="H26" s="23">
        <f>F26-$B$2</f>
        <v/>
      </c>
      <c r="I26" s="84" t="n"/>
      <c r="J26" s="37" t="n"/>
      <c r="K26" s="47" t="n"/>
    </row>
    <row r="27">
      <c r="B27" s="4">
        <f t="array" ref="B27">IF(LEN(TRIM(C27))=0,"","Fact_"&amp;TEXT(SUMPRODUCT(--(LEN(TRIM($C$2:C25))&gt;0))-1,"000"))</f>
        <v/>
      </c>
      <c r="C27" s="2" t="n"/>
      <c r="D27" s="28" t="n">
        <v>45932</v>
      </c>
      <c r="E27" s="2" t="n"/>
      <c r="F27" s="24">
        <f>IF(Tabla1[[#This Row],[Días a vencer]]="","",D27+E27)</f>
        <v/>
      </c>
      <c r="G27" s="25">
        <f>IF(E27="","VACIO",IF(H27&lt;0,"Vencido hace "&amp;H27*-1&amp;" días",IF(H27=0,"Vence hoy",IF(H27&lt;4,"Tiene "&amp;H27&amp;" días","Faltan "&amp;H27&amp;" días"))))</f>
        <v/>
      </c>
      <c r="H27" s="26">
        <f>F27-$B$2</f>
        <v/>
      </c>
      <c r="I27" s="84" t="n"/>
      <c r="J27" s="37" t="n"/>
      <c r="K27" s="38" t="n"/>
    </row>
    <row r="28">
      <c r="B28" s="4">
        <f t="array" ref="B28">IF(LEN(TRIM(C28))=0,"","Fact_"&amp;TEXT(SUMPRODUCT(--(LEN(TRIM($C$2:C26))&gt;0))-1,"000"))</f>
        <v/>
      </c>
      <c r="C28" s="2" t="inlineStr">
        <is>
          <t>Uriell Ü Flores</t>
        </is>
      </c>
      <c r="D28" s="28" t="n">
        <v>45940</v>
      </c>
      <c r="E28" s="2" t="n">
        <v>90</v>
      </c>
      <c r="F28" s="21">
        <f>IF(Tabla1[[#This Row],[Días a vencer]]="","",D28+E28)</f>
        <v/>
      </c>
      <c r="G28" s="22">
        <f>IF(E28="","VACIO",IF(H28&lt;0,"Vencido hace "&amp;H28*-1&amp;" días",IF(H28=0,"Vence hoy",IF(H28&lt;4,"Tiene "&amp;H28&amp;" días","Faltan "&amp;H28&amp;" días"))))</f>
        <v/>
      </c>
      <c r="H28" s="23">
        <f>F28-$B$2</f>
        <v/>
      </c>
      <c r="I28" s="42" t="inlineStr">
        <is>
          <t xml:space="preserve">Spotify </t>
        </is>
      </c>
      <c r="J28" s="37" t="inlineStr">
        <is>
          <t>j.o.n.as10101121n@gmail.com:j.o.n.as10101121n@gmail.com</t>
        </is>
      </c>
      <c r="K28" s="38" t="inlineStr">
        <is>
          <t xml:space="preserve">esta agregado a un plan que esta en las notas de iphone </t>
        </is>
      </c>
    </row>
    <row r="29">
      <c r="B29" s="4">
        <f t="array" ref="B29">IF(LEN(TRIM(C29))=0,"","Fact_"&amp;TEXT(SUMPRODUCT(--(LEN(TRIM($C$2:C27))&gt;0))-1,"000"))</f>
        <v/>
      </c>
      <c r="C29" s="2" t="inlineStr">
        <is>
          <t>chris Zamora</t>
        </is>
      </c>
      <c r="D29" s="28" t="n">
        <v>46001</v>
      </c>
      <c r="E29" s="2" t="n">
        <v>90</v>
      </c>
      <c r="F29" s="21">
        <f>IF(Tabla1[[#This Row],[Días a vencer]]="","",D29+E29)</f>
        <v/>
      </c>
      <c r="G29" s="22">
        <f>IF(E29="","VACIO",IF(H29&lt;0,"Vencido hace "&amp;H29*-1&amp;" días",IF(H29=0,"Vence hoy",IF(H29&lt;4,"Tiene "&amp;H29&amp;" días","Faltan "&amp;H29&amp;" días"))))</f>
        <v/>
      </c>
      <c r="H29" s="23">
        <f>F29-$B$2</f>
        <v/>
      </c>
      <c r="I29" s="42" t="inlineStr">
        <is>
          <t xml:space="preserve">Spotify </t>
        </is>
      </c>
      <c r="J29" s="65" t="inlineStr">
        <is>
          <t>juanbos.sp.er.es@gmail.com:Gearsofwar3@@</t>
        </is>
      </c>
      <c r="K29" s="38" t="n"/>
    </row>
    <row r="30">
      <c r="B30" s="4">
        <f t="array" ref="B30">IF(LEN(TRIM(C30))=0,"","Fact_"&amp;TEXT(SUMPRODUCT(--(LEN(TRIM($C$2:C28))&gt;0))-1,"000"))</f>
        <v/>
      </c>
      <c r="C30" s="2" t="n"/>
      <c r="D30" s="28" t="n">
        <v>45334</v>
      </c>
      <c r="E30" s="2" t="n"/>
      <c r="F30" s="21">
        <f>IF(Tabla1[[#This Row],[Días a vencer]]="","",D30+E30)</f>
        <v/>
      </c>
      <c r="G30" s="22">
        <f>IF(E30="","VACIO",IF(H30&lt;0,"Vencido hace "&amp;H30*-1&amp;" días",IF(H30=0,"Vence hoy",IF(H30&lt;4,"Tiene "&amp;H30&amp;" días","Faltan "&amp;H30&amp;" días"))))</f>
        <v/>
      </c>
      <c r="H30" s="23">
        <f>F30-$B$2</f>
        <v/>
      </c>
      <c r="I30" s="84" t="n"/>
      <c r="J30" s="37" t="n"/>
      <c r="K30" s="38" t="inlineStr">
        <is>
          <t>FAMILIAR</t>
        </is>
      </c>
    </row>
    <row r="31">
      <c r="B31" s="4">
        <f t="array" ref="B31">IF(LEN(TRIM(C31))=0,"","Fact_"&amp;TEXT(SUMPRODUCT(--(LEN(TRIM($C$2:C29))&gt;0))-1,"000"))</f>
        <v/>
      </c>
      <c r="C31" s="2" t="inlineStr">
        <is>
          <t xml:space="preserve">Osvaldo carnicería </t>
        </is>
      </c>
      <c r="D31" s="28" t="n">
        <v>46120</v>
      </c>
      <c r="E31" s="2" t="n">
        <v>365</v>
      </c>
      <c r="F31" s="21">
        <f>IF(Tabla1[[#This Row],[Días a vencer]]="","",D31+E31)</f>
        <v/>
      </c>
      <c r="G31" s="22">
        <f>IF(E31="","VACIO",IF(H31&lt;0,"Vencido hace "&amp;H31*-1&amp;" días",IF(H31=0,"Vence hoy",IF(H31&lt;4,"Tiene "&amp;H31&amp;" días","Faltan "&amp;H31&amp;" días"))))</f>
        <v/>
      </c>
      <c r="H31" s="23">
        <f>F31-$B$2</f>
        <v/>
      </c>
      <c r="I31" s="42" t="inlineStr">
        <is>
          <t xml:space="preserve">Spotify </t>
        </is>
      </c>
      <c r="J31" s="37" t="inlineStr">
        <is>
          <t>jf.jeie1111.1.00@gmail.com:Gearsofwar3</t>
        </is>
      </c>
      <c r="K31" s="38" t="n"/>
    </row>
    <row r="32">
      <c r="B32" s="4">
        <f t="array" ref="B32">IF(LEN(TRIM(C32))=0,"","Fact_"&amp;TEXT(SUMPRODUCT(--(LEN(TRIM($C$2:C30))&gt;0))-1,"000"))</f>
        <v/>
      </c>
      <c r="C32" s="2" t="n"/>
      <c r="D32" s="28" t="n">
        <v>45485</v>
      </c>
      <c r="E32" s="2" t="n"/>
      <c r="F32" s="21">
        <f>IF(Tabla1[[#This Row],[Días a vencer]]="","",D32+E32)</f>
        <v/>
      </c>
      <c r="G32" s="22">
        <f>IF(E32="","VACIO",IF(H32&lt;0,"Vencido hace "&amp;H32*-1&amp;" días",IF(H32=0,"Vence hoy",IF(H32&lt;4,"Tiene "&amp;H32&amp;" días","Faltan "&amp;H32&amp;" días"))))</f>
        <v/>
      </c>
      <c r="H32" s="23">
        <f>F32-$B$2</f>
        <v/>
      </c>
      <c r="I32" s="84" t="n"/>
      <c r="J32" s="37" t="n"/>
      <c r="K32" s="38" t="n"/>
    </row>
    <row r="33">
      <c r="B33" s="4">
        <f t="array" ref="B33">IF(LEN(TRIM(C33))=0,"","Fact_"&amp;TEXT(SUMPRODUCT(--(LEN(TRIM($C$2:C31))&gt;0))-1,"000"))</f>
        <v/>
      </c>
      <c r="C33" s="2" t="n"/>
      <c r="D33" s="28" t="n">
        <v>45250</v>
      </c>
      <c r="E33" s="2" t="n"/>
      <c r="F33" s="21">
        <f>IF(Tabla1[[#This Row],[Días a vencer]]="","",D33+E33)</f>
        <v/>
      </c>
      <c r="G33" s="22">
        <f>IF(E33="","VACIO",IF(H33&lt;0,"Vencido hace "&amp;H33*-1&amp;" días",IF(H33=0,"Vence hoy",IF(H33&lt;4,"Tiene "&amp;H33&amp;" días","Faltan "&amp;H33&amp;" días"))))</f>
        <v/>
      </c>
      <c r="H33" s="23">
        <f>F33-$B$2</f>
        <v/>
      </c>
      <c r="I33" s="84" t="n"/>
      <c r="J33" s="37" t="n"/>
      <c r="K33" s="38" t="inlineStr">
        <is>
          <t xml:space="preserve">FAMILIAR </t>
        </is>
      </c>
    </row>
    <row r="34">
      <c r="B34" s="4">
        <f t="array" ref="B34">IF(LEN(TRIM(C34))=0,"","Fact_"&amp;TEXT(SUMPRODUCT(--(LEN(TRIM($C$2:C32))&gt;0))-1,"000"))</f>
        <v/>
      </c>
      <c r="C34" s="2" t="n"/>
      <c r="D34" s="28" t="n">
        <v>45334</v>
      </c>
      <c r="E34" s="2" t="n"/>
      <c r="F34" s="21">
        <f>IF(Tabla1[[#This Row],[Días a vencer]]="","",D34+E34)</f>
        <v/>
      </c>
      <c r="G34" s="22">
        <f>IF(E34="","VACIO",IF(H34&lt;0,"Vencido hace "&amp;H34*-1&amp;" días",IF(H34=0,"Vence hoy",IF(H34&lt;4,"Tiene "&amp;H34&amp;" días","Faltan "&amp;H34&amp;" días"))))</f>
        <v/>
      </c>
      <c r="H34" s="23">
        <f>F34-$B$2</f>
        <v/>
      </c>
      <c r="I34" s="84" t="n"/>
      <c r="J34" s="37" t="n"/>
      <c r="K34" s="38" t="n"/>
    </row>
    <row r="35">
      <c r="B35" s="4">
        <f t="array" ref="B35">IF(LEN(TRIM(C35))=0,"","Fact_"&amp;TEXT(SUMPRODUCT(--(LEN(TRIM($C$2:C33))&gt;0))-1,"000"))</f>
        <v/>
      </c>
      <c r="C35" s="2" t="n"/>
      <c r="D35" s="28" t="n">
        <v>45579</v>
      </c>
      <c r="E35" s="2" t="n"/>
      <c r="F35" s="21">
        <f>IF(Tabla1[[#This Row],[Días a vencer]]="","",D35+E35)</f>
        <v/>
      </c>
      <c r="G35" s="22">
        <f>IF(E35="","VACIO",IF(H35&lt;0,"Vencido hace "&amp;H35*-1&amp;" días",IF(H35=0,"Vence hoy",IF(H35&lt;4,"Tiene "&amp;H35&amp;" días","Faltan "&amp;H35&amp;" días"))))</f>
        <v/>
      </c>
      <c r="H35" s="23">
        <f>F35-$B$2</f>
        <v/>
      </c>
      <c r="I35" s="84" t="n"/>
      <c r="J35" s="37" t="n"/>
      <c r="K35" s="38" t="n"/>
    </row>
    <row r="36">
      <c r="B36" s="4">
        <f t="array" ref="B36">IF(LEN(TRIM(C36))=0,"","Fact_"&amp;TEXT(SUMPRODUCT(--(LEN(TRIM($C$2:C34))&gt;0))-1,"000"))</f>
        <v/>
      </c>
      <c r="C36" s="2" t="n"/>
      <c r="D36" s="28" t="n">
        <v>45231</v>
      </c>
      <c r="E36" s="2" t="n"/>
      <c r="F36" s="21">
        <f>IF(Tabla1[[#This Row],[Días a vencer]]="","",D36+E36)</f>
        <v/>
      </c>
      <c r="G36" s="22">
        <f>IF(E36="","VACIO",IF(H36&lt;0,"Vencido hace "&amp;H36*-1&amp;" días",IF(H36=0,"Vence hoy",IF(H36&lt;4,"Tiene "&amp;H36&amp;" días","Faltan "&amp;H36&amp;" días"))))</f>
        <v/>
      </c>
      <c r="H36" s="23">
        <f>F36-$B$2</f>
        <v/>
      </c>
      <c r="I36" s="84" t="n"/>
      <c r="J36" s="37" t="n"/>
      <c r="K36" s="38" t="n"/>
    </row>
    <row r="37">
      <c r="B37" s="4">
        <f t="array" ref="B37">IF(LEN(TRIM(C37))=0,"","Fact_"&amp;TEXT(SUMPRODUCT(--(LEN(TRIM($C$2:C35))&gt;0))-1,"000"))</f>
        <v/>
      </c>
      <c r="C37" s="6" t="n"/>
      <c r="D37" s="29" t="n">
        <v>44802</v>
      </c>
      <c r="E37" s="6" t="n"/>
      <c r="F37" s="21">
        <f>IF(Tabla1[[#This Row],[Días a vencer]]="","",D37+E37)</f>
        <v/>
      </c>
      <c r="G37" s="22">
        <f>IF(E37="","VACIO",IF(H37&lt;0,"Vencido hace "&amp;H37*-1&amp;" días",IF(H37=0,"Vence hoy",IF(H37&lt;4,"Tiene "&amp;H37&amp;" días","Faltan "&amp;H37&amp;" días"))))</f>
        <v/>
      </c>
      <c r="H37" s="23">
        <f>F37-$B$2</f>
        <v/>
      </c>
      <c r="I37" s="84" t="n"/>
      <c r="K37" s="38" t="n"/>
    </row>
    <row r="38">
      <c r="B38" s="4">
        <f t="array" ref="B38">IF(LEN(TRIM(C38))=0,"","Fact_"&amp;TEXT(SUMPRODUCT(--(LEN(TRIM($C$2:C36))&gt;0))-1,"000"))</f>
        <v/>
      </c>
      <c r="C38" s="2" t="n"/>
      <c r="D38" s="28" t="n">
        <v>44783</v>
      </c>
      <c r="E38" s="2" t="n"/>
      <c r="F38" s="21">
        <f>IF(Tabla1[[#This Row],[Días a vencer]]="","",D38+E38)</f>
        <v/>
      </c>
      <c r="G38" s="22">
        <f>IF(E38="","VACIO",IF(H38&lt;0,"Vencido hace "&amp;H38*-1&amp;" días",IF(H38=0,"Vence hoy",IF(H38&lt;4,"Tiene "&amp;H38&amp;" días","Faltan "&amp;H38&amp;" días"))))</f>
        <v/>
      </c>
      <c r="H38" s="23">
        <f>F38-$B$2</f>
        <v/>
      </c>
      <c r="I38" s="84" t="n"/>
      <c r="J38" s="37" t="n"/>
      <c r="K38" s="58" t="n"/>
    </row>
    <row r="39">
      <c r="B39" s="4">
        <f t="array" ref="B39">IF(LEN(TRIM(C39))=0,"","Fact_"&amp;TEXT(SUMPRODUCT(--(LEN(TRIM($C$2:C37))&gt;0))-1,"000"))</f>
        <v/>
      </c>
      <c r="C39" s="2" t="n"/>
      <c r="D39" s="28" t="n">
        <v>45132</v>
      </c>
      <c r="E39" s="2" t="n"/>
      <c r="F39" s="21">
        <f>IF(Tabla1[[#This Row],[Días a vencer]]="","",D39+E39)</f>
        <v/>
      </c>
      <c r="G39" s="22">
        <f>IF(E39="","VACIO",IF(H39&lt;0,"Vencido hace "&amp;H39*-1&amp;" días",IF(H39=0,"Vence hoy",IF(H39&lt;4,"Tiene "&amp;H39&amp;" días","Faltan "&amp;H39&amp;" días"))))</f>
        <v/>
      </c>
      <c r="H39" s="23">
        <f>F39-$B$2</f>
        <v/>
      </c>
      <c r="I39" s="84" t="n"/>
      <c r="J39" s="37" t="n"/>
      <c r="K39" s="38" t="n"/>
    </row>
    <row r="40">
      <c r="B40" s="4">
        <f t="array" ref="B40">IF(LEN(TRIM(C40))=0,"","Fact_"&amp;TEXT(SUMPRODUCT(--(LEN(TRIM($C$2:C38))&gt;0))-1,"000"))</f>
        <v/>
      </c>
      <c r="C40" s="2" t="n"/>
      <c r="D40" s="28" t="n">
        <v>44848</v>
      </c>
      <c r="E40" s="2" t="n"/>
      <c r="F40" s="21">
        <f>IF(Tabla1[[#This Row],[Días a vencer]]="","",D40+E40)</f>
        <v/>
      </c>
      <c r="G40" s="22">
        <f>IF(E40="","VACIO",IF(H40&lt;0,"Vencido hace "&amp;H40*-1&amp;" días",IF(H40=0,"Vence hoy",IF(H40&lt;4,"Tiene "&amp;H40&amp;" días","Faltan "&amp;H40&amp;" días"))))</f>
        <v/>
      </c>
      <c r="H40" s="23">
        <f>F40-$B$2</f>
        <v/>
      </c>
      <c r="I40" s="84" t="n"/>
      <c r="J40" s="37" t="n"/>
      <c r="K40" s="38" t="n"/>
    </row>
    <row r="41">
      <c r="B41" s="4">
        <f t="array" ref="B41">IF(LEN(TRIM(C41))=0,"","Fact_"&amp;TEXT(SUMPRODUCT(--(LEN(TRIM($C$2:C39))&gt;0))-1,"000"))</f>
        <v/>
      </c>
      <c r="C41" s="6" t="n"/>
      <c r="D41" s="29" t="n">
        <v>45132</v>
      </c>
      <c r="E41" s="6" t="n"/>
      <c r="F41" s="21">
        <f>IF(Tabla1[[#This Row],[Días a vencer]]="","",D41+E41)</f>
        <v/>
      </c>
      <c r="G41" s="22">
        <f>IF(E41="","VACIO",IF(H41&lt;0,"Vencido hace "&amp;H41*-1&amp;" días",IF(H41=0,"Vence hoy",IF(H41&lt;4,"Tiene "&amp;H41&amp;" días","Faltan "&amp;H41&amp;" días"))))</f>
        <v/>
      </c>
      <c r="H41" s="23">
        <f>F41-$B$2</f>
        <v/>
      </c>
      <c r="I41" s="84" t="n"/>
      <c r="J41" s="37" t="n"/>
      <c r="K41" s="38" t="n"/>
    </row>
    <row r="42">
      <c r="B42" s="4">
        <f t="array" ref="B42">IF(LEN(TRIM(C42))=0,"","Fact_"&amp;TEXT(SUMPRODUCT(--(LEN(TRIM($C$2:C40))&gt;0))-1,"000"))</f>
        <v/>
      </c>
      <c r="C42" s="2" t="n"/>
      <c r="D42" s="28" t="n">
        <v>45464</v>
      </c>
      <c r="E42" s="2" t="n"/>
      <c r="F42" s="21">
        <f>IF(Tabla1[[#This Row],[Días a vencer]]="","",D42+E42)</f>
        <v/>
      </c>
      <c r="G42" s="22">
        <f>IF(E42="","VACIO",IF(H42&lt;0,"Vencido hace "&amp;H42*-1&amp;" días",IF(H42=0,"Vence hoy",IF(H42&lt;4,"Tiene "&amp;H42&amp;" días","Faltan "&amp;H42&amp;" días"))))</f>
        <v/>
      </c>
      <c r="H42" s="23">
        <f>F42-$B$2</f>
        <v/>
      </c>
      <c r="I42" s="84" t="n"/>
      <c r="K42" s="38" t="n"/>
    </row>
    <row r="43">
      <c r="B43" s="4">
        <f t="array" ref="B43">IF(LEN(TRIM(C43))=0,"","Fact_"&amp;TEXT(SUMPRODUCT(--(LEN(TRIM($C$2:C41))&gt;0))-1,"000"))</f>
        <v/>
      </c>
      <c r="C43" s="2" t="n"/>
      <c r="D43" s="28" t="n">
        <v>45464</v>
      </c>
      <c r="E43" s="2" t="n"/>
      <c r="F43" s="21">
        <f>IF(Tabla1[[#This Row],[Días a vencer]]="","",D43+E43)</f>
        <v/>
      </c>
      <c r="G43" s="22">
        <f>IF(E43="","VACIO",IF(H43&lt;0,"Vencido hace "&amp;H43*-1&amp;" días",IF(H43=0,"Vence hoy",IF(H43&lt;4,"Tiene "&amp;H43&amp;" días","Faltan "&amp;H43&amp;" días"))))</f>
        <v/>
      </c>
      <c r="H43" s="23">
        <f>F43-$B$2</f>
        <v/>
      </c>
      <c r="I43" s="84" t="n"/>
      <c r="K43" s="38" t="n"/>
    </row>
    <row r="44">
      <c r="B44" s="4">
        <f t="array" ref="B44">IF(LEN(TRIM(C44))=0,"","Fact_"&amp;TEXT(SUMPRODUCT(--(LEN(TRIM($C$2:C42))&gt;0))-1,"000"))</f>
        <v/>
      </c>
      <c r="C44" s="2" t="n"/>
      <c r="D44" s="28" t="n">
        <v>45238</v>
      </c>
      <c r="E44" s="2" t="n"/>
      <c r="F44" s="21">
        <f>IF(Tabla1[[#This Row],[Días a vencer]]="","",D44+E44)</f>
        <v/>
      </c>
      <c r="G44" s="22">
        <f>IF(E44="","VACIO",IF(H44&lt;0,"Vencido hace "&amp;H44*-1&amp;" días",IF(H44=0,"Vence hoy",IF(H44&lt;4,"Tiene "&amp;H44&amp;" días","Faltan "&amp;H44&amp;" días"))))</f>
        <v/>
      </c>
      <c r="H44" s="23">
        <f>F44-$B$2</f>
        <v/>
      </c>
      <c r="I44" s="84" t="n"/>
      <c r="J44" s="44" t="n"/>
      <c r="K44" s="38" t="n"/>
    </row>
    <row r="45">
      <c r="B45" s="4">
        <f t="array" ref="B45">IF(LEN(TRIM(C45))=0,"","Fact_"&amp;TEXT(SUMPRODUCT(--(LEN(TRIM($C$2:C43))&gt;0))-1,"000"))</f>
        <v/>
      </c>
      <c r="C45" s="2" t="n"/>
      <c r="D45" s="28" t="n">
        <v>45664</v>
      </c>
      <c r="E45" s="2" t="n"/>
      <c r="F45" s="21">
        <f>IF(Tabla1[[#This Row],[Días a vencer]]="","",D45+E45)</f>
        <v/>
      </c>
      <c r="G45" s="22">
        <f>IF(E45="","VACIO",IF(H45&lt;0,"Vencido hace "&amp;H45*-1&amp;" días",IF(H45=0,"Vence hoy",IF(H45&lt;4,"Tiene "&amp;H45&amp;" días","Faltan "&amp;H45&amp;" días"))))</f>
        <v/>
      </c>
      <c r="H45" s="23">
        <f>F45-$B$2</f>
        <v/>
      </c>
      <c r="I45" s="84" t="n"/>
      <c r="J45" s="37" t="n"/>
      <c r="K45" s="38" t="n"/>
    </row>
    <row r="46">
      <c r="B46" s="4">
        <f t="array" ref="B46">IF(LEN(TRIM(C46))=0,"","Fact_"&amp;TEXT(SUMPRODUCT(--(LEN(TRIM($C$2:C44))&gt;0))-1,"000"))</f>
        <v/>
      </c>
      <c r="C46" s="2" t="n"/>
      <c r="D46" s="28" t="n">
        <v>45228</v>
      </c>
      <c r="E46" s="2" t="n"/>
      <c r="F46" s="21">
        <f>IF(Tabla1[[#This Row],[Días a vencer]]="","",D46+E46)</f>
        <v/>
      </c>
      <c r="G46" s="22">
        <f>IF(E46="","VACIO",IF(H46&lt;0,"Vencido hace "&amp;H46*-1&amp;" días",IF(H46=0,"Vence hoy",IF(H46&lt;4,"Tiene "&amp;H46&amp;" días","Faltan "&amp;H46&amp;" días"))))</f>
        <v/>
      </c>
      <c r="H46" s="23">
        <f>F46-$B$2</f>
        <v/>
      </c>
      <c r="I46" s="84" t="n"/>
      <c r="K46" s="38" t="n"/>
    </row>
    <row r="47">
      <c r="B47" s="4">
        <f t="array" ref="B47">IF(LEN(TRIM(C47))=0,"","Fact_"&amp;TEXT(SUMPRODUCT(--(LEN(TRIM($C$2:C45))&gt;0))-1,"000"))</f>
        <v/>
      </c>
      <c r="C47" s="2" t="n"/>
      <c r="D47" s="28" t="n">
        <v>45664</v>
      </c>
      <c r="E47" s="2" t="n"/>
      <c r="F47" s="21">
        <f>IF(Tabla1[[#This Row],[Días a vencer]]="","",D47+E47)</f>
        <v/>
      </c>
      <c r="G47" s="22">
        <f>IF(E47="","VACIO",IF(H47&lt;0,"Vencido hace "&amp;H47*-1&amp;" días",IF(H47=0,"Vence hoy",IF(H47&lt;4,"Tiene "&amp;H47&amp;" días","Faltan "&amp;H47&amp;" días"))))</f>
        <v/>
      </c>
      <c r="H47" s="23">
        <f>F47-$B$2</f>
        <v/>
      </c>
      <c r="I47" s="84" t="n"/>
      <c r="J47" s="37" t="n"/>
      <c r="K47" s="38" t="n"/>
    </row>
    <row r="48">
      <c r="B48" s="4">
        <f t="array" ref="B48">IF(LEN(TRIM(C48))=0,"","Fact_"&amp;TEXT(SUMPRODUCT(--(LEN(TRIM($C$2:C46))&gt;0))-1,"000"))</f>
        <v/>
      </c>
      <c r="C48" s="2" t="n"/>
      <c r="D48" s="28" t="n">
        <v>45138</v>
      </c>
      <c r="E48" s="2" t="n"/>
      <c r="F48" s="21">
        <f>IF(Tabla1[[#This Row],[Días a vencer]]="","",D48+E48)</f>
        <v/>
      </c>
      <c r="G48" s="22">
        <f>IF(E48="","VACIO",IF(H48&lt;0,"Vencido hace "&amp;H48*-1&amp;" días",IF(H48=0,"Vence hoy",IF(H48&lt;4,"Tiene "&amp;H48&amp;" días","Faltan "&amp;H48&amp;" días"))))</f>
        <v/>
      </c>
      <c r="H48" s="23">
        <f>F48-$B$2</f>
        <v/>
      </c>
      <c r="I48" s="84" t="n"/>
      <c r="J48" s="37" t="n"/>
      <c r="K48" s="38" t="n"/>
    </row>
    <row r="49">
      <c r="B49" s="4">
        <f t="array" ref="B49">IF(LEN(TRIM(C49))=0,"","Fact_"&amp;TEXT(SUMPRODUCT(--(LEN(TRIM($C$2:C47))&gt;0))-1,"000"))</f>
        <v/>
      </c>
      <c r="C49" s="30" t="inlineStr">
        <is>
          <t xml:space="preserve">MIA </t>
        </is>
      </c>
      <c r="D49" s="28" t="n">
        <v>45206</v>
      </c>
      <c r="E49" s="2" t="n"/>
      <c r="F49" s="21">
        <f>IF(Tabla1[[#This Row],[Días a vencer]]="","",D49+E49)</f>
        <v/>
      </c>
      <c r="G49" s="22">
        <f>IF(E49="","VACIO",IF(H49&lt;0,"Vencido hace "&amp;H49*-1&amp;" días",IF(H49=0,"Vence hoy",IF(H49&lt;4,"Tiene "&amp;H49&amp;" días","Faltan "&amp;H49&amp;" días"))))</f>
        <v/>
      </c>
      <c r="H49" s="23">
        <f>F49-$B$2</f>
        <v/>
      </c>
      <c r="I49" s="42" t="inlineStr">
        <is>
          <t xml:space="preserve">Spotify </t>
        </is>
      </c>
      <c r="J49" s="37" t="inlineStr">
        <is>
          <t>hxhxg.h.4.9.4@gmail.com:/change-password/</t>
        </is>
      </c>
      <c r="K49" s="40" t="inlineStr">
        <is>
          <t>FAMILIAR ADMI 5/5</t>
        </is>
      </c>
    </row>
    <row r="50">
      <c r="B50" s="4">
        <f t="array" ref="B50">IF(LEN(TRIM(C50))=0,"","Fact_"&amp;TEXT(SUMPRODUCT(--(LEN(TRIM($C$2:C48))&gt;0))-1,"000"))</f>
        <v/>
      </c>
      <c r="C50" s="2" t="n"/>
      <c r="D50" s="28" t="n">
        <v>44884</v>
      </c>
      <c r="E50" s="2" t="n"/>
      <c r="F50" s="21">
        <f>IF(Tabla1[[#This Row],[Días a vencer]]="","",D50+E50)</f>
        <v/>
      </c>
      <c r="G50" s="22">
        <f>IF(E50="","VACIO",IF(H50&lt;0,"Vencido hace "&amp;H50*-1&amp;" días",IF(H50=0,"Vence hoy",IF(H50&lt;4,"Tiene "&amp;H50&amp;" días","Faltan "&amp;H50&amp;" días"))))</f>
        <v/>
      </c>
      <c r="H50" s="23">
        <f>F50-$B$2</f>
        <v/>
      </c>
      <c r="I50" s="84" t="n"/>
      <c r="J50" s="37" t="n"/>
      <c r="K50" s="38" t="n"/>
    </row>
    <row r="51">
      <c r="B51" s="4">
        <f t="array" ref="B51">IF(LEN(TRIM(C51))=0,"","Fact_"&amp;TEXT(SUMPRODUCT(--(LEN(TRIM($C$2:C49))&gt;0))-1,"000"))</f>
        <v/>
      </c>
      <c r="C51" s="2" t="n"/>
      <c r="D51" s="28" t="n">
        <v>45280</v>
      </c>
      <c r="E51" s="2" t="n"/>
      <c r="F51" s="24">
        <f>IF(Tabla1[[#This Row],[Días a vencer]]="","",D51+E51)</f>
        <v/>
      </c>
      <c r="G51" s="25">
        <f>IF(E51="","VACIO",IF(H51&lt;0,"Vencido hace "&amp;H51*-1&amp;" días",IF(H51=0,"Vence hoy",IF(H51&lt;4,"Tiene "&amp;H51&amp;" días","Faltan "&amp;H51&amp;" días"))))</f>
        <v/>
      </c>
      <c r="H51" s="26">
        <f>F51-$B$2</f>
        <v/>
      </c>
      <c r="I51" s="84" t="n"/>
      <c r="J51" s="37" t="n"/>
      <c r="K51" s="38" t="inlineStr">
        <is>
          <t>FAMILIAR</t>
        </is>
      </c>
    </row>
    <row r="52">
      <c r="B52" s="4">
        <f t="array" ref="B52">IF(LEN(TRIM(C52))=0,"","Fact_"&amp;TEXT(SUMPRODUCT(--(LEN(TRIM($C$2:C50))&gt;0))-1,"000"))</f>
        <v/>
      </c>
      <c r="C52" s="2" t="n"/>
      <c r="D52" s="29" t="n">
        <v>45185</v>
      </c>
      <c r="E52" s="6" t="n"/>
      <c r="F52" s="21">
        <f>IF(Tabla1[[#This Row],[Días a vencer]]="","",D52+E52)</f>
        <v/>
      </c>
      <c r="G52" s="22">
        <f>IF(E52="","VACIO",IF(H52&lt;0,"Vencido hace "&amp;H52*-1&amp;" días",IF(H52=0,"Vence hoy",IF(H52&lt;4,"Tiene "&amp;H52&amp;" días","Faltan "&amp;H52&amp;" días"))))</f>
        <v/>
      </c>
      <c r="H52" s="23">
        <f>F52-$B$2</f>
        <v/>
      </c>
      <c r="I52" s="84" t="n"/>
      <c r="J52" s="37" t="n"/>
      <c r="K52" s="38" t="n"/>
    </row>
    <row r="53">
      <c r="B53" s="4">
        <f t="array" ref="B53">IF(LEN(TRIM(C53))=0,"","Fact_"&amp;TEXT(SUMPRODUCT(--(LEN(TRIM($C$2:C51))&gt;0))-1,"000"))</f>
        <v/>
      </c>
      <c r="C53" s="2" t="n"/>
      <c r="D53" s="28" t="n">
        <v>45027</v>
      </c>
      <c r="E53" s="2" t="n"/>
      <c r="F53" s="21">
        <f>IF(Tabla1[[#This Row],[Días a vencer]]="","",D53+E53)</f>
        <v/>
      </c>
      <c r="G53" s="22">
        <f>IF(E53="","VACIO",IF(H53&lt;0,"Vencido hace "&amp;H53*-1&amp;" días",IF(H53=0,"Vence hoy",IF(H53&lt;4,"Tiene "&amp;H53&amp;" días","Faltan "&amp;H53&amp;" días"))))</f>
        <v/>
      </c>
      <c r="H53" s="23">
        <f>F53-$B$2</f>
        <v/>
      </c>
      <c r="I53" s="84" t="n"/>
      <c r="J53" s="37" t="n"/>
      <c r="K53" s="38" t="n"/>
    </row>
    <row r="54">
      <c r="B54" s="4">
        <f t="array" ref="B54">IF(LEN(TRIM(C54))=0,"","Fact_"&amp;TEXT(SUMPRODUCT(--(LEN(TRIM($C$2:C52))&gt;0))-1,"000"))</f>
        <v/>
      </c>
      <c r="C54" s="2" t="n"/>
      <c r="D54" s="28" t="n">
        <v>44793</v>
      </c>
      <c r="E54" s="2" t="n"/>
      <c r="F54" s="21">
        <f>IF(Tabla1[[#This Row],[Días a vencer]]="","",D54+E54)</f>
        <v/>
      </c>
      <c r="G54" s="22">
        <f>IF(E54="","VACIO",IF(H54&lt;0,"Vencido hace "&amp;H54*-1&amp;" días",IF(H54=0,"Vence hoy",IF(H54&lt;4,"Tiene "&amp;H54&amp;" días","Faltan "&amp;H54&amp;" días"))))</f>
        <v/>
      </c>
      <c r="H54" s="23">
        <f>F54-$B$2</f>
        <v/>
      </c>
      <c r="I54" s="84" t="n"/>
      <c r="J54" s="37" t="n"/>
      <c r="K54" s="48" t="n"/>
    </row>
    <row r="55">
      <c r="B55" s="4">
        <f t="array" ref="B55">IF(LEN(TRIM(C55))=0,"","Fact_"&amp;TEXT(SUMPRODUCT(--(LEN(TRIM($C$2:C53))&gt;0))-1,"000"))</f>
        <v/>
      </c>
      <c r="C55" s="2" t="n"/>
      <c r="D55" s="28" t="n">
        <v>45406</v>
      </c>
      <c r="E55" s="2" t="n"/>
      <c r="F55" s="21">
        <f>IF(Tabla1[[#This Row],[Días a vencer]]="","",D55+E55)</f>
        <v/>
      </c>
      <c r="G55" s="22">
        <f>IF(E55="","VACIO",IF(H55&lt;0,"Vencido hace "&amp;H55*-1&amp;" días",IF(H55=0,"Vence hoy",IF(H55&lt;4,"Tiene "&amp;H55&amp;" días","Faltan "&amp;H55&amp;" días"))))</f>
        <v/>
      </c>
      <c r="H55" s="23">
        <f>F55-$B$2</f>
        <v/>
      </c>
      <c r="I55" s="84" t="n"/>
      <c r="J55" s="44" t="n"/>
      <c r="K55" s="58" t="n"/>
    </row>
    <row r="56">
      <c r="B56" s="4">
        <f t="array" ref="B56">IF(LEN(TRIM(C56))=0,"","Fact_"&amp;TEXT(SUMPRODUCT(--(LEN(TRIM($C$2:C54))&gt;0))-1,"000"))</f>
        <v/>
      </c>
      <c r="C56" s="2" t="inlineStr">
        <is>
          <t>248 206 2632</t>
        </is>
      </c>
      <c r="D56" s="28" t="n">
        <v>45731</v>
      </c>
      <c r="E56" s="2" t="n">
        <v>365</v>
      </c>
      <c r="F56" s="21">
        <f>IF(Tabla1[[#This Row],[Días a vencer]]="","",D56+E56)</f>
        <v/>
      </c>
      <c r="G56" s="22">
        <f>IF(E56="","VACIO",IF(H56&lt;0,"Vencido hace "&amp;H56*-1&amp;" días",IF(H56=0,"Vence hoy",IF(H56&lt;4,"Tiene "&amp;H56&amp;" días","Faltan "&amp;H56&amp;" días"))))</f>
        <v/>
      </c>
      <c r="H56" s="23">
        <f>F56-$B$2</f>
        <v/>
      </c>
      <c r="I56" s="42" t="inlineStr">
        <is>
          <t xml:space="preserve">Spotify </t>
        </is>
      </c>
      <c r="J56" s="37" t="inlineStr">
        <is>
          <t>juanpere.e.z.4.6.8@gmail.com:change-password/</t>
        </is>
      </c>
      <c r="K56" s="38" t="n"/>
    </row>
    <row r="57">
      <c r="B57" s="4">
        <f t="array" ref="B57">IF(LEN(TRIM(C57))=0,"","Fact_"&amp;TEXT(SUMPRODUCT(--(LEN(TRIM($C$2:C55))&gt;0))-1,"000"))</f>
        <v/>
      </c>
      <c r="C57" s="2" t="n"/>
      <c r="D57" s="28" t="n">
        <v>45100</v>
      </c>
      <c r="E57" s="2" t="n"/>
      <c r="F57" s="21">
        <f>IF(Tabla1[[#This Row],[Días a vencer]]="","",D57+E57)</f>
        <v/>
      </c>
      <c r="G57" s="22">
        <f>IF(E57="","VACIO",IF(H57&lt;0,"Vencido hace "&amp;H57*-1&amp;" días",IF(H57=0,"Vence hoy",IF(H57&lt;4,"Tiene "&amp;H57&amp;" días","Faltan "&amp;H57&amp;" días"))))</f>
        <v/>
      </c>
      <c r="H57" s="23">
        <f>F57-$B$2</f>
        <v/>
      </c>
      <c r="I57" s="84" t="n"/>
      <c r="J57" s="37" t="n"/>
      <c r="K57" s="38" t="n"/>
    </row>
    <row r="58">
      <c r="B58" s="4">
        <f t="array" ref="B58">IF(LEN(TRIM(C58))=0,"","Fact_"&amp;TEXT(SUMPRODUCT(--(LEN(TRIM($C$2:C56))&gt;0))-1,"000"))</f>
        <v/>
      </c>
      <c r="C58" s="6" t="n"/>
      <c r="D58" s="28" t="n">
        <v>45100</v>
      </c>
      <c r="E58" s="2" t="n"/>
      <c r="F58" s="21">
        <f>IF(Tabla1[[#This Row],[Días a vencer]]="","",D58+E58)</f>
        <v/>
      </c>
      <c r="G58" s="22">
        <f>IF(E58="","VACIO",IF(H58&lt;0,"Vencido hace "&amp;H58*-1&amp;" días",IF(H58=0,"Vence hoy",IF(H58&lt;4,"Tiene "&amp;H58&amp;" días","Faltan "&amp;H58&amp;" días"))))</f>
        <v/>
      </c>
      <c r="H58" s="23">
        <f>F58-$B$2</f>
        <v/>
      </c>
      <c r="I58" s="84" t="n"/>
      <c r="J58" s="37" t="n"/>
      <c r="K58" s="38" t="n"/>
    </row>
    <row r="59">
      <c r="B59" s="4">
        <f t="array" ref="B59">IF(LEN(TRIM(C59))=0,"","Fact_"&amp;TEXT(SUMPRODUCT(--(LEN(TRIM($C$2:C57))&gt;0))-1,"000"))</f>
        <v/>
      </c>
      <c r="C59" s="2" t="n"/>
      <c r="D59" s="28" t="n">
        <v>44823</v>
      </c>
      <c r="E59" s="2" t="n"/>
      <c r="F59" s="21">
        <f>IF(Tabla1[[#This Row],[Días a vencer]]="","",D59+E59)</f>
        <v/>
      </c>
      <c r="G59" s="22">
        <f>IF(E59="","VACIO",IF(H59&lt;0,"Vencido hace "&amp;H59*-1&amp;" días",IF(H59=0,"Vence hoy",IF(H59&lt;4,"Tiene "&amp;H59&amp;" días","Faltan "&amp;H59&amp;" días"))))</f>
        <v/>
      </c>
      <c r="H59" s="23">
        <f>F59-$B$2</f>
        <v/>
      </c>
      <c r="I59" s="84" t="n"/>
      <c r="J59" s="44" t="n"/>
      <c r="K59" s="38" t="n"/>
    </row>
    <row r="60">
      <c r="B60" s="4">
        <f t="array" ref="B60">IF(LEN(TRIM(C60))=0,"","Fact_"&amp;TEXT(SUMPRODUCT(--(LEN(TRIM($C$2:C58))&gt;0))-1,"000"))</f>
        <v/>
      </c>
      <c r="C60" s="2" t="n"/>
      <c r="D60" s="28" t="n">
        <v>45183</v>
      </c>
      <c r="E60" s="2" t="n"/>
      <c r="F60" s="21">
        <f>IF(Tabla1[[#This Row],[Días a vencer]]="","",D60+E60)</f>
        <v/>
      </c>
      <c r="G60" s="22">
        <f>IF(E60="","VACIO",IF(H60&lt;0,"Vencido hace "&amp;H60*-1&amp;" días",IF(H60=0,"Vence hoy",IF(H60&lt;4,"Tiene "&amp;H60&amp;" días","Faltan "&amp;H60&amp;" días"))))</f>
        <v/>
      </c>
      <c r="H60" s="23">
        <f>F60-$B$2</f>
        <v/>
      </c>
      <c r="I60" s="84" t="n"/>
      <c r="J60" s="37" t="n"/>
      <c r="K60" s="38" t="n"/>
    </row>
    <row r="61">
      <c r="B61" s="4">
        <f t="array" ref="B61">IF(LEN(TRIM(C61))=0,"","Fact_"&amp;TEXT(SUMPRODUCT(--(LEN(TRIM($C$2:C59))&gt;0))-1,"000"))</f>
        <v/>
      </c>
      <c r="C61" s="2" t="n"/>
      <c r="D61" s="28" t="n">
        <v>45549</v>
      </c>
      <c r="E61" s="2" t="n"/>
      <c r="F61" s="21">
        <f>IF(Tabla1[[#This Row],[Días a vencer]]="","",D61+E61)</f>
        <v/>
      </c>
      <c r="G61" s="22">
        <f>IF(E61="","VACIO",IF(H61&lt;0,"Vencido hace "&amp;H61*-1&amp;" días",IF(H61=0,"Vence hoy",IF(H61&lt;4,"Tiene "&amp;H61&amp;" días","Faltan "&amp;H61&amp;" días"))))</f>
        <v/>
      </c>
      <c r="H61" s="23">
        <f>F61-$B$2</f>
        <v/>
      </c>
      <c r="I61" s="84" t="n"/>
      <c r="J61" s="37" t="n"/>
      <c r="K61" s="38" t="n"/>
    </row>
    <row r="62">
      <c r="B62" s="4">
        <f t="array" ref="B62">IF(LEN(TRIM(C62))=0,"","Fact_"&amp;TEXT(SUMPRODUCT(--(LEN(TRIM($C$2:C60))&gt;0))-1,"000"))</f>
        <v/>
      </c>
      <c r="C62" s="2" t="n"/>
      <c r="D62" s="28" t="n">
        <v>45323</v>
      </c>
      <c r="E62" s="2" t="n"/>
      <c r="F62" s="21">
        <f>IF(Tabla1[[#This Row],[Días a vencer]]="","",D62+E62)</f>
        <v/>
      </c>
      <c r="G62" s="22">
        <f>IF(E62="","VACIO",IF(H62&lt;0,"Vencido hace "&amp;H62*-1&amp;" días",IF(H62=0,"Vence hoy",IF(H62&lt;4,"Tiene "&amp;H62&amp;" días","Faltan "&amp;H62&amp;" días"))))</f>
        <v/>
      </c>
      <c r="H62" s="23">
        <f>F62-$B$2</f>
        <v/>
      </c>
      <c r="I62" s="84" t="n"/>
      <c r="K62" s="38" t="n"/>
    </row>
    <row r="63">
      <c r="B63" s="4">
        <f t="array" ref="B63">IF(LEN(TRIM(C63))=0,"","Fact_"&amp;TEXT(SUMPRODUCT(--(LEN(TRIM($C$2:C61))&gt;0))-1,"000"))</f>
        <v/>
      </c>
      <c r="C63" s="6" t="n"/>
      <c r="D63" s="29" t="n">
        <v>45100</v>
      </c>
      <c r="E63" s="6" t="n"/>
      <c r="F63" s="21">
        <f>IF(Tabla1[[#This Row],[Días a vencer]]="","",D63+E63)</f>
        <v/>
      </c>
      <c r="G63" s="22">
        <f>IF(E63="","VACIO",IF(H63&lt;0,"Vencido hace "&amp;H63*-1&amp;" días",IF(H63=0,"Vence hoy",IF(H63&lt;4,"Tiene "&amp;H63&amp;" días","Faltan "&amp;H63&amp;" días"))))</f>
        <v/>
      </c>
      <c r="H63" s="23">
        <f>F63-$B$2</f>
        <v/>
      </c>
      <c r="I63" s="84" t="n"/>
      <c r="J63" s="37" t="n"/>
      <c r="K63" s="38" t="n"/>
    </row>
    <row r="64">
      <c r="B64" s="4">
        <f t="array" ref="B64">IF(LEN(TRIM(C64))=0,"","Fact_"&amp;TEXT(SUMPRODUCT(--(LEN(TRIM($C$2:C62))&gt;0))-1,"000"))</f>
        <v/>
      </c>
      <c r="C64" s="6" t="n"/>
      <c r="D64" s="28" t="n">
        <v>44915</v>
      </c>
      <c r="E64" s="2" t="n"/>
      <c r="F64" s="21">
        <f>IF(Tabla1[[#This Row],[Días a vencer]]="","",D64+E64)</f>
        <v/>
      </c>
      <c r="G64" s="22">
        <f>IF(E64="","VACIO",IF(H64&lt;0,"Vencido hace "&amp;H64*-1&amp;" días",IF(H64=0,"Vence hoy",IF(H64&lt;4,"Tiene "&amp;H64&amp;" días","Faltan "&amp;H64&amp;" días"))))</f>
        <v/>
      </c>
      <c r="H64" s="23">
        <f>F64-$B$2</f>
        <v/>
      </c>
      <c r="I64" s="84" t="n"/>
      <c r="J64" s="37" t="n"/>
      <c r="K64" s="38" t="n"/>
    </row>
    <row r="65">
      <c r="B65" s="4">
        <f t="array" ref="B65">IF(LEN(TRIM(C65))=0,"","Fact_"&amp;TEXT(SUMPRODUCT(--(LEN(TRIM($C$2:C63))&gt;0))-1,"000"))</f>
        <v/>
      </c>
      <c r="C65" s="6" t="n"/>
      <c r="D65" s="28" t="n">
        <v>45317</v>
      </c>
      <c r="E65" s="2" t="n"/>
      <c r="F65" s="21">
        <f>IF(Tabla1[[#This Row],[Días a vencer]]="","",D65+E65)</f>
        <v/>
      </c>
      <c r="G65" s="22">
        <f>IF(E65="","VACIO",IF(H65&lt;0,"Vencido hace "&amp;H65*-1&amp;" días",IF(H65=0,"Vence hoy",IF(H65&lt;4,"Tiene "&amp;H65&amp;" días","Faltan "&amp;H65&amp;" días"))))</f>
        <v/>
      </c>
      <c r="H65" s="23">
        <f>F65-$B$2</f>
        <v/>
      </c>
      <c r="I65" s="84" t="n"/>
      <c r="J65" s="37" t="n"/>
      <c r="K65" s="38" t="n"/>
    </row>
    <row r="66">
      <c r="B66" s="4">
        <f t="array" ref="B66">IF(LEN(TRIM(C66))=0,"","Fact_"&amp;TEXT(SUMPRODUCT(--(LEN(TRIM($C$2:C64))&gt;0))-1,"000"))</f>
        <v/>
      </c>
      <c r="C66" s="6" t="n"/>
      <c r="D66" s="28" t="n">
        <v>45590</v>
      </c>
      <c r="E66" s="2" t="n"/>
      <c r="F66" s="21">
        <f>IF(Tabla1[[#This Row],[Días a vencer]]="","",D66+E66)</f>
        <v/>
      </c>
      <c r="G66" s="22">
        <f>IF(E66="","VACIO",IF(H66&lt;0,"Vencido hace "&amp;H66*-1&amp;" días",IF(H66=0,"Vence hoy",IF(H66&lt;4,"Tiene "&amp;H66&amp;" días","Faltan "&amp;H66&amp;" días"))))</f>
        <v/>
      </c>
      <c r="H66" s="23">
        <f>F66-$B$2</f>
        <v/>
      </c>
      <c r="I66" s="84" t="n"/>
      <c r="J66" s="37" t="n"/>
      <c r="K66" s="38" t="n"/>
    </row>
    <row r="67">
      <c r="B67" s="4">
        <f t="array" ref="B67">IF(LEN(TRIM(C67))=0,"","Fact_"&amp;TEXT(SUMPRODUCT(--(LEN(TRIM($C$2:C65))&gt;0))-1,"000"))</f>
        <v/>
      </c>
      <c r="C67" s="6" t="inlineStr">
        <is>
          <t>248 206 2632</t>
        </is>
      </c>
      <c r="D67" s="28" t="n">
        <v>45750</v>
      </c>
      <c r="E67" s="2" t="n">
        <v>365</v>
      </c>
      <c r="F67" s="21">
        <f>IF(Tabla1[[#This Row],[Días a vencer]]="","",D67+E67)</f>
        <v/>
      </c>
      <c r="G67" s="22">
        <f>IF(E67="","VACIO",IF(H67&lt;0,"Vencido hace "&amp;H67*-1&amp;" días",IF(H67=0,"Vence hoy",IF(H67&lt;4,"Tiene "&amp;H67&amp;" días","Faltan "&amp;H67&amp;" días"))))</f>
        <v/>
      </c>
      <c r="H67" s="23">
        <f>F67-$B$2</f>
        <v/>
      </c>
      <c r="I67" s="42" t="inlineStr">
        <is>
          <t xml:space="preserve">Spotify </t>
        </is>
      </c>
      <c r="J67" s="37" t="inlineStr">
        <is>
          <t>ap29.4.3044@gmail.com:Aa12345670</t>
        </is>
      </c>
      <c r="K67" s="38" t="n"/>
    </row>
    <row r="68">
      <c r="B68" s="4">
        <f t="array" ref="B68">IF(LEN(TRIM(C68))=0,"","Fact_"&amp;TEXT(SUMPRODUCT(--(LEN(TRIM($C$2:C66))&gt;0))-1,"000"))</f>
        <v/>
      </c>
      <c r="C68" s="6" t="n"/>
      <c r="D68" s="28" t="n">
        <v>45103</v>
      </c>
      <c r="E68" s="2" t="n"/>
      <c r="F68" s="21">
        <f>IF(Tabla1[[#This Row],[Días a vencer]]="","",D68+E68)</f>
        <v/>
      </c>
      <c r="G68" s="22">
        <f>IF(E68="","VACIO",IF(H68&lt;0,"Vencido hace "&amp;H68*-1&amp;" días",IF(H68=0,"Vence hoy",IF(H68&lt;4,"Tiene "&amp;H68&amp;" días","Faltan "&amp;H68&amp;" días"))))</f>
        <v/>
      </c>
      <c r="H68" s="23">
        <f>F68-$B$2</f>
        <v/>
      </c>
      <c r="I68" s="84" t="n"/>
      <c r="J68" s="37" t="n"/>
      <c r="K68" s="38" t="n"/>
    </row>
    <row r="69">
      <c r="B69" s="4">
        <f t="array" ref="B69">IF(LEN(TRIM(C69))=0,"","Fact_"&amp;TEXT(SUMPRODUCT(--(LEN(TRIM($C$2:C67))&gt;0))-1,"000"))</f>
        <v/>
      </c>
      <c r="C69" s="2" t="n"/>
      <c r="D69" s="28" t="n">
        <v>45103</v>
      </c>
      <c r="E69" s="2" t="n"/>
      <c r="F69" s="21">
        <f>IF(Tabla1[[#This Row],[Días a vencer]]="","",D69+E69)</f>
        <v/>
      </c>
      <c r="G69" s="22">
        <f>IF(E69="","VACIO",IF(H69&lt;0,"Vencido hace "&amp;H69*-1&amp;" días",IF(H69=0,"Vence hoy",IF(H69&lt;4,"Tiene "&amp;H69&amp;" días","Faltan "&amp;H69&amp;" días"))))</f>
        <v/>
      </c>
      <c r="H69" s="23">
        <f>F69-$B$2</f>
        <v/>
      </c>
      <c r="I69" s="84" t="n"/>
      <c r="J69" s="37" t="n"/>
      <c r="K69" s="38" t="n"/>
    </row>
    <row r="70">
      <c r="B70" s="4">
        <f t="array" ref="B70">IF(LEN(TRIM(C70))=0,"","Fact_"&amp;TEXT(SUMPRODUCT(--(LEN(TRIM($C$2:C68))&gt;0))-1,"000"))</f>
        <v/>
      </c>
      <c r="C70" s="2" t="n"/>
      <c r="D70" s="28" t="n">
        <v>45553</v>
      </c>
      <c r="E70" s="2" t="n"/>
      <c r="F70" s="21">
        <f>IF(Tabla1[[#This Row],[Días a vencer]]="","",D70+E70)</f>
        <v/>
      </c>
      <c r="G70" s="22">
        <f>IF(E70="","VACIO",IF(H70&lt;0,"Vencido hace "&amp;H70*-1&amp;" días",IF(H70=0,"Vence hoy",IF(H70&lt;4,"Tiene "&amp;H70&amp;" días","Faltan "&amp;H70&amp;" días"))))</f>
        <v/>
      </c>
      <c r="H70" s="23">
        <f>F70-$B$2</f>
        <v/>
      </c>
      <c r="I70" s="84" t="n"/>
      <c r="J70" s="37" t="n"/>
      <c r="K70" s="38" t="n"/>
    </row>
    <row r="71">
      <c r="B71" s="4">
        <f t="array" ref="B71">IF(LEN(TRIM(C71))=0,"","Fact_"&amp;TEXT(SUMPRODUCT(--(LEN(TRIM($C$2:C69))&gt;0))-1,"000"))</f>
        <v/>
      </c>
      <c r="C71" s="2" t="n"/>
      <c r="D71" s="28" t="n">
        <v>45104</v>
      </c>
      <c r="E71" s="2" t="n"/>
      <c r="F71" s="21">
        <f>IF(Tabla1[[#This Row],[Días a vencer]]="","",D71+E71)</f>
        <v/>
      </c>
      <c r="G71" s="22">
        <f>IF(E71="","VACIO",IF(H71&lt;0,"Vencido hace "&amp;H71*-1&amp;" días",IF(H71=0,"Vence hoy",IF(H71&lt;4,"Tiene "&amp;H71&amp;" días","Faltan "&amp;H71&amp;" días"))))</f>
        <v/>
      </c>
      <c r="H71" s="23">
        <f>F71-$B$2</f>
        <v/>
      </c>
      <c r="I71" s="84" t="n"/>
      <c r="J71" s="37" t="n"/>
      <c r="K71" s="38" t="n"/>
    </row>
    <row r="72">
      <c r="B72" s="4">
        <f t="array" ref="B72">IF(LEN(TRIM(C72))=0,"","Fact_"&amp;TEXT(SUMPRODUCT(--(LEN(TRIM($C$2:C70))&gt;0))-1,"000"))</f>
        <v/>
      </c>
      <c r="C72" s="2" t="n"/>
      <c r="D72" s="28" t="n">
        <v>44975</v>
      </c>
      <c r="E72" s="2" t="n"/>
      <c r="F72" s="21">
        <f>IF(Tabla1[[#This Row],[Días a vencer]]="","",D72+E72)</f>
        <v/>
      </c>
      <c r="G72" s="22">
        <f>IF(E72="","VACIO",IF(H72&lt;0,"Vencido hace "&amp;H72*-1&amp;" días",IF(H72=0,"Vence hoy",IF(H72&lt;4,"Tiene "&amp;H72&amp;" días","Faltan "&amp;H72&amp;" días"))))</f>
        <v/>
      </c>
      <c r="H72" s="23">
        <f>F72-$B$2</f>
        <v/>
      </c>
      <c r="I72" s="84" t="n"/>
      <c r="J72" s="37" t="n"/>
      <c r="K72" s="38" t="n"/>
    </row>
    <row r="73">
      <c r="B73" s="4">
        <f t="array" ref="B73">IF(LEN(TRIM(C73))=0,"","Fact_"&amp;TEXT(SUMPRODUCT(--(LEN(TRIM($C$2:C71))&gt;0))-1,"000"))</f>
        <v/>
      </c>
      <c r="C73" s="2" t="inlineStr">
        <is>
          <t>bosss</t>
        </is>
      </c>
      <c r="D73" s="28" t="n">
        <v>45972</v>
      </c>
      <c r="E73" s="2" t="n">
        <v>200</v>
      </c>
      <c r="F73" s="21">
        <f>IF(Tabla1[[#This Row],[Días a vencer]]="","",D73+E73)</f>
        <v/>
      </c>
      <c r="G73" s="22">
        <f>IF(E73="","VACIO",IF(H73&lt;0,"Vencido hace "&amp;H73*-1&amp;" días",IF(H73=0,"Vence hoy",IF(H73&lt;4,"Tiene "&amp;H73&amp;" días","Faltan "&amp;H73&amp;" días"))))</f>
        <v/>
      </c>
      <c r="H73" s="23">
        <f>F73-$B$2</f>
        <v/>
      </c>
      <c r="I73" s="42" t="inlineStr">
        <is>
          <t xml:space="preserve">Spotify </t>
        </is>
      </c>
      <c r="J73" s="37" t="inlineStr">
        <is>
          <t>jon.a.s1.0.10.11.21n@gmail.com:jon.a.s1.0.10.11.21n@gmail.com</t>
        </is>
      </c>
      <c r="K73" s="38" t="n"/>
    </row>
    <row r="74">
      <c r="B74" s="4">
        <f t="array" ref="B74">IF(LEN(TRIM(C74))=0,"","Fact_"&amp;TEXT(SUMPRODUCT(--(LEN(TRIM($C$2:C72))&gt;0))-1,"000"))</f>
        <v/>
      </c>
      <c r="C74" s="2" t="inlineStr">
        <is>
          <t>bosss</t>
        </is>
      </c>
      <c r="D74" s="28" t="n">
        <v>45972</v>
      </c>
      <c r="E74" s="2" t="n">
        <v>200</v>
      </c>
      <c r="F74" s="21">
        <f>IF(Tabla1[[#This Row],[Días a vencer]]="","",D74+E74)</f>
        <v/>
      </c>
      <c r="G74" s="22">
        <f>IF(E74="","VACIO",IF(H74&lt;0,"Vencido hace "&amp;H74*-1&amp;" días",IF(H74=0,"Vence hoy",IF(H74&lt;4,"Tiene "&amp;H74&amp;" días","Faltan "&amp;H74&amp;" días"))))</f>
        <v/>
      </c>
      <c r="H74" s="23">
        <f>F74-$B$2</f>
        <v/>
      </c>
      <c r="I74" s="42" t="inlineStr">
        <is>
          <t xml:space="preserve">Spotify </t>
        </is>
      </c>
      <c r="J74" s="37" t="inlineStr">
        <is>
          <t>juanbo.sspere.s@gmail.com:juanbo.sspere.s@gmail.com</t>
        </is>
      </c>
      <c r="K74" s="38" t="n"/>
    </row>
    <row r="75">
      <c r="B75" s="4">
        <f t="array" ref="B75">IF(LEN(TRIM(C75))=0,"","Fact_"&amp;TEXT(SUMPRODUCT(--(LEN(TRIM($C$2:C73))&gt;0))-1,"000"))</f>
        <v/>
      </c>
      <c r="D75" s="28" t="n">
        <v>44719</v>
      </c>
      <c r="E75" s="2" t="n"/>
      <c r="F75" s="24">
        <f>IF(Tabla1[[#This Row],[Días a vencer]]="","",D75+E75)</f>
        <v/>
      </c>
      <c r="G75" s="25">
        <f>IF(E75="","VACIO",IF(H75&lt;0,"Vencido hace "&amp;H75*-1&amp;" días",IF(H75=0,"Vence hoy",IF(H75&lt;4,"Tiene "&amp;H75&amp;" días","Faltan "&amp;H75&amp;" días"))))</f>
        <v/>
      </c>
      <c r="H75" s="26">
        <f>F75-$B$2</f>
        <v/>
      </c>
      <c r="I75" s="84" t="n"/>
      <c r="J75" s="37" t="n"/>
      <c r="K75" s="38" t="n"/>
    </row>
    <row r="76">
      <c r="B76" s="4">
        <f t="array" ref="B76">IF(LEN(TRIM(C76))=0,"","Fact_"&amp;TEXT(SUMPRODUCT(--(LEN(TRIM($C$2:C74))&gt;0))-1,"000"))</f>
        <v/>
      </c>
      <c r="C76" t="inlineStr">
        <is>
          <t>Balta Balta Castroso</t>
        </is>
      </c>
      <c r="D76" s="28" t="n">
        <v>46023</v>
      </c>
      <c r="E76" s="2" t="n">
        <v>100</v>
      </c>
      <c r="F76" s="21">
        <f>IF(Tabla1[[#This Row],[Días a vencer]]="","",D76+E76)</f>
        <v/>
      </c>
      <c r="G76" s="22">
        <f>IF(E76="","VACIO",IF(H76&lt;0,"Vencido hace "&amp;H76*-1&amp;" días",IF(H76=0,"Vence hoy",IF(H76&lt;4,"Tiene "&amp;H76&amp;" días","Faltan "&amp;H76&amp;" días"))))</f>
        <v/>
      </c>
      <c r="H76" s="23">
        <f>F76-$B$2</f>
        <v/>
      </c>
      <c r="I76" s="41" t="inlineStr">
        <is>
          <t>Amazon Prime</t>
        </is>
      </c>
      <c r="J76" s="37" t="inlineStr">
        <is>
          <t>uiiiii10y.o.u@gmail.com:Gearsofwar3</t>
        </is>
      </c>
      <c r="K76" s="38" t="n"/>
    </row>
    <row r="77">
      <c r="B77" s="4">
        <f t="array" ref="B77">IF(LEN(TRIM(C77))=0,"","Fact_"&amp;TEXT(SUMPRODUCT(--(LEN(TRIM($C$2:C75))&gt;0))-1,"000"))</f>
        <v/>
      </c>
      <c r="C77" s="6" t="n"/>
      <c r="D77" s="28" t="n">
        <v>45327</v>
      </c>
      <c r="E77" s="2" t="n"/>
      <c r="F77" s="21">
        <f>IF(Tabla1[[#This Row],[Días a vencer]]="","",D77+E77)</f>
        <v/>
      </c>
      <c r="G77" s="22">
        <f>IF(E77="","VACIO",IF(H77&lt;0,"Vencido hace "&amp;H77*-1&amp;" días",IF(H77=0,"Vence hoy",IF(H77&lt;4,"Tiene "&amp;H77&amp;" días","Faltan "&amp;H77&amp;" días"))))</f>
        <v/>
      </c>
      <c r="H77" s="23">
        <f>F77-$B$2</f>
        <v/>
      </c>
      <c r="I77" s="84" t="n"/>
      <c r="J77" s="37" t="n"/>
      <c r="K77" s="38" t="n"/>
    </row>
    <row r="78">
      <c r="B78" s="4">
        <f t="array" ref="B78">IF(LEN(TRIM(C78))=0,"","Fact_"&amp;TEXT(SUMPRODUCT(--(LEN(TRIM($C$2:C76))&gt;0))-1,"000"))</f>
        <v/>
      </c>
      <c r="C78" s="2" t="inlineStr">
        <is>
          <t>Kike Cortes</t>
        </is>
      </c>
      <c r="D78" s="28" t="n">
        <v>46023</v>
      </c>
      <c r="E78" s="2" t="n">
        <v>365</v>
      </c>
      <c r="F78" s="21">
        <f>IF(Tabla1[[#This Row],[Días a vencer]]="","",D78+E78)</f>
        <v/>
      </c>
      <c r="G78" s="22">
        <f>IF(E78="","VACIO",IF(H78&lt;0,"Vencido hace "&amp;H78*-1&amp;" días",IF(H78=0,"Vence hoy",IF(H78&lt;4,"Tiene "&amp;H78&amp;" días","Faltan "&amp;H78&amp;" días"))))</f>
        <v/>
      </c>
      <c r="H78" s="23">
        <f>F78-$B$2</f>
        <v/>
      </c>
      <c r="I78" s="42" t="inlineStr">
        <is>
          <t xml:space="preserve">Spotify </t>
        </is>
      </c>
      <c r="J78" s="37" t="inlineStr">
        <is>
          <t>jfjeie11111.0.0@gmail.com:gearsofwar3</t>
        </is>
      </c>
      <c r="K78" s="38" t="n"/>
    </row>
    <row r="79">
      <c r="B79" s="4">
        <f t="array" ref="B79">IF(LEN(TRIM(C79))=0,"","Fact_"&amp;TEXT(SUMPRODUCT(--(LEN(TRIM($C$2:C77))&gt;0))-1,"000"))</f>
        <v/>
      </c>
      <c r="C79" s="2" t="n"/>
      <c r="D79" s="28" t="n">
        <v>45214</v>
      </c>
      <c r="E79" s="2" t="n"/>
      <c r="F79" s="21">
        <f>IF(Tabla1[[#This Row],[Días a vencer]]="","",D79+E79)</f>
        <v/>
      </c>
      <c r="G79" s="22">
        <f>IF(E79="","VACIO",IF(H79&lt;0,"Vencido hace "&amp;H79*-1&amp;" días",IF(H79=0,"Vence hoy",IF(H79&lt;4,"Tiene "&amp;H79&amp;" días","Faltan "&amp;H79&amp;" días"))))</f>
        <v/>
      </c>
      <c r="H79" s="23">
        <f>F79-$B$2</f>
        <v/>
      </c>
      <c r="I79" s="84" t="n"/>
      <c r="J79" s="46" t="n"/>
      <c r="K79" s="38" t="n"/>
    </row>
    <row r="80">
      <c r="B80" s="4">
        <f t="array" ref="B80">IF(LEN(TRIM(C80))=0,"","Fact_"&amp;TEXT(SUMPRODUCT(--(LEN(TRIM($C$2:C78))&gt;0))-1,"000"))</f>
        <v/>
      </c>
      <c r="C80" s="2" t="n"/>
      <c r="D80" s="28" t="n">
        <v>45478</v>
      </c>
      <c r="E80" s="2" t="n"/>
      <c r="F80" s="21">
        <f>IF(Tabla1[[#This Row],[Días a vencer]]="","",D80+E80)</f>
        <v/>
      </c>
      <c r="G80" s="22">
        <f>IF(E80="","VACIO",IF(H80&lt;0,"Vencido hace "&amp;H80*-1&amp;" días",IF(H80=0,"Vence hoy",IF(H80&lt;4,"Tiene "&amp;H80&amp;" días","Faltan "&amp;H80&amp;" días"))))</f>
        <v/>
      </c>
      <c r="H80" s="23">
        <f>F80-$B$2</f>
        <v/>
      </c>
      <c r="I80" s="84" t="n"/>
      <c r="J80" s="37" t="n"/>
      <c r="K80" s="38" t="n"/>
    </row>
    <row r="81">
      <c r="B81" s="4">
        <f t="array" ref="B81">IF(LEN(TRIM(C81))=0,"","Fact_"&amp;TEXT(SUMPRODUCT(--(LEN(TRIM($C$2:C79))&gt;0))-1,"000"))</f>
        <v/>
      </c>
      <c r="C81" s="2" t="n"/>
      <c r="D81" s="28" t="n">
        <v>45355</v>
      </c>
      <c r="E81" s="2" t="n"/>
      <c r="F81" s="21">
        <f>IF(Tabla1[[#This Row],[Días a vencer]]="","",D81+E81)</f>
        <v/>
      </c>
      <c r="G81" s="22">
        <f>IF(E81="","VACIO",IF(H81&lt;0,"Vencido hace "&amp;H81*-1&amp;" días",IF(H81=0,"Vence hoy",IF(H81&lt;4,"Tiene "&amp;H81&amp;" días","Faltan "&amp;H81&amp;" días"))))</f>
        <v/>
      </c>
      <c r="H81" s="23">
        <f>F81-$B$2</f>
        <v/>
      </c>
      <c r="I81" s="84" t="n"/>
      <c r="J81" s="37" t="n"/>
      <c r="K81" s="38" t="n"/>
    </row>
    <row r="82">
      <c r="B82" s="4">
        <f t="array" ref="B82">IF(LEN(TRIM(C82))=0,"","Fact_"&amp;TEXT(SUMPRODUCT(--(LEN(TRIM($C$2:C80))&gt;0))-1,"000"))</f>
        <v/>
      </c>
      <c r="C82" s="2" t="n"/>
      <c r="D82" s="28" t="n">
        <v>45425</v>
      </c>
      <c r="E82" s="2" t="n"/>
      <c r="F82" s="21">
        <f>IF(Tabla1[[#This Row],[Días a vencer]]="","",D82+E82)</f>
        <v/>
      </c>
      <c r="G82" s="22">
        <f>IF(E82="","VACIO",IF(H82&lt;0,"Vencido hace "&amp;H82*-1&amp;" días",IF(H82=0,"Vence hoy",IF(H82&lt;4,"Tiene "&amp;H82&amp;" días","Faltan "&amp;H82&amp;" días"))))</f>
        <v/>
      </c>
      <c r="H82" s="23">
        <f>F82-$B$2</f>
        <v/>
      </c>
      <c r="I82" s="84" t="n"/>
      <c r="J82" s="37" t="n"/>
      <c r="K82" s="38" t="n"/>
    </row>
    <row r="83">
      <c r="B83" s="4">
        <f t="array" ref="B83">IF(LEN(TRIM(C83))=0,"","Fact_"&amp;TEXT(SUMPRODUCT(--(LEN(TRIM($C$2:C81))&gt;0))-1,"000"))</f>
        <v/>
      </c>
      <c r="C83" s="34" t="n"/>
      <c r="D83" s="28" t="n">
        <v>45459</v>
      </c>
      <c r="E83" s="2" t="n"/>
      <c r="F83" s="21">
        <f>IF(Tabla1[[#This Row],[Días a vencer]]="","",D83+E83)</f>
        <v/>
      </c>
      <c r="G83" s="22">
        <f>IF(E83="","VACIO",IF(H83&lt;0,"Vencido hace "&amp;H83*-1&amp;" días",IF(H83=0,"Vence hoy",IF(H83&lt;4,"Tiene "&amp;H83&amp;" días","Faltan "&amp;H83&amp;" días"))))</f>
        <v/>
      </c>
      <c r="H83" s="23">
        <f>F83-$B$2</f>
        <v/>
      </c>
      <c r="I83" s="84" t="n"/>
      <c r="J83" s="37" t="n"/>
      <c r="K83" s="38" t="n"/>
    </row>
    <row r="84">
      <c r="B84" s="4">
        <f t="array" ref="B84">IF(LEN(TRIM(C84))=0,"","Fact_"&amp;TEXT(SUMPRODUCT(--(LEN(TRIM($C$2:C82))&gt;0))-1,"000"))</f>
        <v/>
      </c>
      <c r="C84" s="2" t="n"/>
      <c r="D84" s="28" t="n">
        <v>45363</v>
      </c>
      <c r="E84" s="2" t="n"/>
      <c r="F84" s="21">
        <f>IF(Tabla1[[#This Row],[Días a vencer]]="","",D84+E84)</f>
        <v/>
      </c>
      <c r="G84" s="22">
        <f>IF(E84="","VACIO",IF(H84&lt;0,"Vencido hace "&amp;H84*-1&amp;" días",IF(H84=0,"Vence hoy",IF(H84&lt;4,"Tiene "&amp;H84&amp;" días","Faltan "&amp;H84&amp;" días"))))</f>
        <v/>
      </c>
      <c r="H84" s="23">
        <f>F84-$B$2</f>
        <v/>
      </c>
      <c r="I84" s="84" t="n"/>
      <c r="J84" s="44" t="n"/>
      <c r="K84" s="38" t="n"/>
    </row>
    <row r="85">
      <c r="B85" s="4">
        <f t="array" ref="B85">IF(LEN(TRIM(C85))=0,"","Fact_"&amp;TEXT(SUMPRODUCT(--(LEN(TRIM($C$2:C83))&gt;0))-1,"000"))</f>
        <v/>
      </c>
      <c r="C85" s="6" t="n"/>
      <c r="D85" s="29" t="n">
        <v>45339</v>
      </c>
      <c r="E85" s="6" t="n"/>
      <c r="F85" s="21">
        <f>IF(Tabla1[[#This Row],[Días a vencer]]="","",D85+E85)</f>
        <v/>
      </c>
      <c r="G85" s="22">
        <f>IF(E85="","VACIO",IF(H85&lt;0,"Vencido hace "&amp;H85*-1&amp;" días",IF(H85=0,"Vence hoy",IF(H85&lt;4,"Tiene "&amp;H85&amp;" días","Faltan "&amp;H85&amp;" días"))))</f>
        <v/>
      </c>
      <c r="H85" s="23">
        <f>F85-$B$2</f>
        <v/>
      </c>
      <c r="I85" s="84" t="n"/>
      <c r="J85" s="37" t="n"/>
      <c r="K85" s="38" t="n"/>
    </row>
    <row r="86">
      <c r="B86" s="4">
        <f t="array" ref="B86">IF(LEN(TRIM(C86))=0,"","Fact_"&amp;TEXT(SUMPRODUCT(--(LEN(TRIM($C$2:C84))&gt;0))-1,"000"))</f>
        <v/>
      </c>
      <c r="C86" s="2" t="n"/>
      <c r="D86" s="28" t="n">
        <v>45200</v>
      </c>
      <c r="E86" s="2" t="n"/>
      <c r="F86" s="21">
        <f>IF(Tabla1[[#This Row],[Días a vencer]]="","",D86+E86)</f>
        <v/>
      </c>
      <c r="G86" s="22">
        <f>IF(E86="","VACIO",IF(H86&lt;0,"Vencido hace "&amp;H86*-1&amp;" días",IF(H86=0,"Vence hoy",IF(H86&lt;4,"Tiene "&amp;H86&amp;" días","Faltan "&amp;H86&amp;" días"))))</f>
        <v/>
      </c>
      <c r="H86" s="23">
        <f>F86-$B$2</f>
        <v/>
      </c>
      <c r="I86" s="84" t="n"/>
      <c r="J86" s="37" t="n"/>
      <c r="K86" s="38" t="n"/>
    </row>
    <row r="87">
      <c r="B87" s="4">
        <f t="array" ref="B87">IF(LEN(TRIM(C87))=0,"","Fact_"&amp;TEXT(SUMPRODUCT(--(LEN(TRIM($C$2:C85))&gt;0))-1,"000"))</f>
        <v/>
      </c>
      <c r="C87" s="2" t="n"/>
      <c r="D87" s="28" t="n">
        <v>44978</v>
      </c>
      <c r="E87" s="2" t="n"/>
      <c r="F87" s="21">
        <f>IF(Tabla1[[#This Row],[Días a vencer]]="","",D87+E87)</f>
        <v/>
      </c>
      <c r="G87" s="22">
        <f>IF(E87="","VACIO",IF(H87&lt;0,"Vencido hace "&amp;H87*-1&amp;" días",IF(H87=0,"Vence hoy",IF(H87&lt;4,"Tiene "&amp;H87&amp;" días","Faltan "&amp;H87&amp;" días"))))</f>
        <v/>
      </c>
      <c r="H87" s="23">
        <f>F87-$B$2</f>
        <v/>
      </c>
      <c r="I87" s="84" t="n"/>
      <c r="J87" s="37" t="n"/>
      <c r="K87" s="38" t="n"/>
    </row>
    <row r="88">
      <c r="B88" s="4">
        <f t="array" ref="B88">IF(LEN(TRIM(C88))=0,"","Fact_"&amp;TEXT(SUMPRODUCT(--(LEN(TRIM($C$2:C86))&gt;0))-1,"000"))</f>
        <v/>
      </c>
      <c r="C88" s="2" t="n"/>
      <c r="D88" s="29" t="n">
        <v>45377</v>
      </c>
      <c r="E88" s="2" t="n"/>
      <c r="F88" s="21">
        <f>IF(Tabla1[[#This Row],[Días a vencer]]="","",D88+E88)</f>
        <v/>
      </c>
      <c r="G88" s="22">
        <f>IF(E88="","VACIO",IF(H88&lt;0,"Vencido hace "&amp;H88*-1&amp;" días",IF(H88=0,"Vence hoy",IF(H88&lt;4,"Tiene "&amp;H88&amp;" días","Faltan "&amp;H88&amp;" días"))))</f>
        <v/>
      </c>
      <c r="H88" s="23">
        <f>F88-$B$2</f>
        <v/>
      </c>
      <c r="I88" s="84" t="n"/>
      <c r="J88" s="37" t="n"/>
      <c r="K88" s="48" t="n"/>
    </row>
    <row r="89">
      <c r="B89" s="4">
        <f t="array" ref="B89">IF(LEN(TRIM(C89))=0,"","Fact_"&amp;TEXT(SUMPRODUCT(--(LEN(TRIM($C$2:C87))&gt;0))-1,"000"))</f>
        <v/>
      </c>
      <c r="C89" s="2" t="n"/>
      <c r="D89" s="29" t="n">
        <v>45133</v>
      </c>
      <c r="E89" s="2" t="n"/>
      <c r="F89" s="21">
        <f>IF(Tabla1[[#This Row],[Días a vencer]]="","",D89+E89)</f>
        <v/>
      </c>
      <c r="G89" s="22">
        <f>IF(E89="","VACIO",IF(H89&lt;0,"Vencido hace "&amp;H89*-1&amp;" días",IF(H89=0,"Vence hoy",IF(H89&lt;4,"Tiene "&amp;H89&amp;" días","Faltan "&amp;H89&amp;" días"))))</f>
        <v/>
      </c>
      <c r="H89" s="23">
        <f>F89-$B$2</f>
        <v/>
      </c>
      <c r="I89" s="84" t="n"/>
      <c r="J89" s="37" t="n"/>
      <c r="K89" s="48" t="n"/>
    </row>
    <row r="90">
      <c r="B90" s="4">
        <f t="array" ref="B90">IF(LEN(TRIM(C90))=0,"","Fact_"&amp;TEXT(SUMPRODUCT(--(LEN(TRIM($C$2:C88))&gt;0))-1,"000"))</f>
        <v/>
      </c>
      <c r="C90" s="2" t="n"/>
      <c r="D90" s="28" t="n">
        <v>45090</v>
      </c>
      <c r="E90" s="2" t="n"/>
      <c r="F90" s="21">
        <f>IF(Tabla1[[#This Row],[Días a vencer]]="","",D90+E90)</f>
        <v/>
      </c>
      <c r="G90" s="22">
        <f>IF(E90="","VACIO",IF(H90&lt;0,"Vencido hace "&amp;H90*-1&amp;" días",IF(H90=0,"Vence hoy",IF(H90&lt;4,"Tiene "&amp;H90&amp;" días","Faltan "&amp;H90&amp;" días"))))</f>
        <v/>
      </c>
      <c r="H90" s="23">
        <f>F90-$B$2</f>
        <v/>
      </c>
      <c r="I90" s="84" t="n"/>
      <c r="J90" s="51" t="n"/>
      <c r="K90" s="38" t="n"/>
    </row>
    <row r="91">
      <c r="B91" s="4">
        <f t="array" ref="B91">IF(LEN(TRIM(C91))=0,"","Fact_"&amp;TEXT(SUMPRODUCT(--(LEN(TRIM($C$2:C89))&gt;0))-1,"000"))</f>
        <v/>
      </c>
      <c r="C91" s="6" t="n"/>
      <c r="D91" s="29" t="n">
        <v>44866</v>
      </c>
      <c r="E91" s="6" t="n"/>
      <c r="F91" s="21">
        <f>IF(Tabla1[[#This Row],[Días a vencer]]="","",D91+E91)</f>
        <v/>
      </c>
      <c r="G91" s="22">
        <f>IF(E91="","VACIO",IF(H91&lt;0,"Vencido hace "&amp;H91*-1&amp;" días",IF(H91=0,"Vence hoy",IF(H91&lt;4,"Tiene "&amp;H91&amp;" días","Faltan "&amp;H91&amp;" días"))))</f>
        <v/>
      </c>
      <c r="H91" s="23">
        <f>F91-$B$2</f>
        <v/>
      </c>
      <c r="I91" s="84" t="n"/>
      <c r="K91" s="38" t="n"/>
    </row>
    <row r="92">
      <c r="B92" s="4">
        <f t="array" ref="B92">IF(LEN(TRIM(C92))=0,"","Fact_"&amp;TEXT(SUMPRODUCT(--(LEN(TRIM($C$2:C90))&gt;0))-1,"000"))</f>
        <v/>
      </c>
      <c r="C92" s="2" t="n"/>
      <c r="D92" s="28" t="n">
        <v>45174</v>
      </c>
      <c r="E92" s="2" t="n"/>
      <c r="F92" s="21">
        <f>IF(Tabla1[[#This Row],[Días a vencer]]="","",D92+E92)</f>
        <v/>
      </c>
      <c r="G92" s="22">
        <f>IF(E92="","VACIO",IF(H92&lt;0,"Vencido hace "&amp;H92*-1&amp;" días",IF(H92=0,"Vence hoy",IF(H92&lt;4,"Tiene "&amp;H92&amp;" días","Faltan "&amp;H92&amp;" días"))))</f>
        <v/>
      </c>
      <c r="H92" s="23">
        <f>F92-$B$2</f>
        <v/>
      </c>
      <c r="I92" s="84" t="n"/>
      <c r="K92" s="38" t="n"/>
    </row>
    <row r="93">
      <c r="B93" s="4">
        <f t="array" ref="B93">IF(LEN(TRIM(C93))=0,"","Fact_"&amp;TEXT(SUMPRODUCT(--(LEN(TRIM($C$2:C91))&gt;0))-1,"000"))</f>
        <v/>
      </c>
      <c r="C93" s="6" t="n"/>
      <c r="D93" s="29" t="n">
        <v>44880</v>
      </c>
      <c r="E93" s="6" t="n"/>
      <c r="F93" s="21">
        <f>IF(Tabla1[[#This Row],[Días a vencer]]="","",D93+E93)</f>
        <v/>
      </c>
      <c r="G93" s="22">
        <f>IF(E93="","VACIO",IF(H93&lt;0,"Vencido hace "&amp;H93*-1&amp;" días",IF(H93=0,"Vence hoy",IF(H93&lt;4,"Tiene "&amp;H93&amp;" días","Faltan "&amp;H93&amp;" días"))))</f>
        <v/>
      </c>
      <c r="H93" s="23">
        <f>F93-$B$2</f>
        <v/>
      </c>
      <c r="I93" s="84" t="n"/>
      <c r="J93" s="37" t="n"/>
      <c r="K93" s="38" t="inlineStr">
        <is>
          <t>FAMILIAR</t>
        </is>
      </c>
    </row>
    <row r="94">
      <c r="B94" s="4">
        <f t="array" ref="B94">IF(LEN(TRIM(C94))=0,"","Fact_"&amp;TEXT(SUMPRODUCT(--(LEN(TRIM($C$2:C92))&gt;0))-1,"000"))</f>
        <v/>
      </c>
      <c r="C94" s="2" t="n"/>
      <c r="D94" s="28" t="n">
        <v>45950</v>
      </c>
      <c r="E94" s="2" t="n"/>
      <c r="F94" s="21">
        <f>IF(Tabla1[[#This Row],[Días a vencer]]="","",D94+E94)</f>
        <v/>
      </c>
      <c r="G94" s="22">
        <f>IF(E94="","VACIO",IF(H94&lt;0,"Vencido hace "&amp;H94*-1&amp;" días",IF(H94=0,"Vence hoy",IF(H94&lt;4,"Tiene "&amp;H94&amp;" días","Faltan "&amp;H94&amp;" días"))))</f>
        <v/>
      </c>
      <c r="H94" s="23">
        <f>F94-$B$2</f>
        <v/>
      </c>
      <c r="I94" s="84" t="n"/>
      <c r="J94" s="37" t="n"/>
      <c r="K94" s="38" t="n"/>
    </row>
    <row r="95">
      <c r="B95" s="4">
        <f t="array" ref="B95">IF(LEN(TRIM(C95))=0,"","Fact_"&amp;TEXT(SUMPRODUCT(--(LEN(TRIM($C$2:C93))&gt;0))-1,"000"))</f>
        <v/>
      </c>
      <c r="C95" s="6" t="inlineStr">
        <is>
          <t>maik</t>
        </is>
      </c>
      <c r="D95" s="29" t="n">
        <v>45950</v>
      </c>
      <c r="E95" s="2" t="n">
        <v>365</v>
      </c>
      <c r="F95" s="21">
        <f>IF(Tabla1[[#This Row],[Días a vencer]]="","",D95+E95)</f>
        <v/>
      </c>
      <c r="G95" s="22">
        <f>IF(E95="","VACIO",IF(H95&lt;0,"Vencido hace "&amp;H95*-1&amp;" días",IF(H95=0,"Vence hoy",IF(H95&lt;4,"Tiene "&amp;H95&amp;" días","Faltan "&amp;H95&amp;" días"))))</f>
        <v/>
      </c>
      <c r="H95" s="23">
        <f>F95-$B$2</f>
        <v/>
      </c>
      <c r="I95" s="49" t="inlineStr">
        <is>
          <t>HBO Max</t>
        </is>
      </c>
      <c r="J95" s="37" t="inlineStr">
        <is>
          <t>josemanuelhuerta@prodigy.net.mx:Gearsofwar3</t>
        </is>
      </c>
      <c r="K95" s="38" t="n"/>
    </row>
    <row r="96">
      <c r="B96" s="4">
        <f t="array" ref="B96">IF(LEN(TRIM(C96))=0,"","Fact_"&amp;TEXT(SUMPRODUCT(--(LEN(TRIM($C$2:C94))&gt;0))-1,"000"))</f>
        <v/>
      </c>
      <c r="C96" s="6" t="n"/>
      <c r="D96" s="28" t="n">
        <v>45085</v>
      </c>
      <c r="E96" s="2" t="n"/>
      <c r="F96" s="21">
        <f>IF(Tabla1[[#This Row],[Días a vencer]]="","",D96+E96)</f>
        <v/>
      </c>
      <c r="G96" s="22">
        <f>IF(E96="","VACIO",IF(H96&lt;0,"Vencido hace "&amp;H96*-1&amp;" días",IF(H96=0,"Vence hoy",IF(H96&lt;4,"Tiene "&amp;H96&amp;" días","Faltan "&amp;H96&amp;" días"))))</f>
        <v/>
      </c>
      <c r="H96" s="23">
        <f>F96-$B$2</f>
        <v/>
      </c>
      <c r="I96" s="84" t="n"/>
      <c r="J96" s="37" t="n"/>
      <c r="K96" s="38" t="n"/>
    </row>
    <row r="97">
      <c r="B97" s="4">
        <f t="array" ref="B97">IF(LEN(TRIM(C97))=0,"","Fact_"&amp;TEXT(SUMPRODUCT(--(LEN(TRIM($C$2:C95))&gt;0))-1,"000"))</f>
        <v/>
      </c>
      <c r="C97" s="6" t="n"/>
      <c r="D97" s="29" t="n">
        <v>45036</v>
      </c>
      <c r="E97" s="6" t="n"/>
      <c r="F97" s="21">
        <f>IF(Tabla1[[#This Row],[Días a vencer]]="","",D97+E97)</f>
        <v/>
      </c>
      <c r="G97" s="22">
        <f>IF(E97="","VACIO",IF(H97&lt;0,"Vencido hace "&amp;H97*-1&amp;" días",IF(H97=0,"Vence hoy",IF(H97&lt;4,"Tiene "&amp;H97&amp;" días","Faltan "&amp;H97&amp;" días"))))</f>
        <v/>
      </c>
      <c r="H97" s="23">
        <f>F97-$B$2</f>
        <v/>
      </c>
      <c r="I97" s="84" t="n"/>
      <c r="J97" s="37" t="n"/>
      <c r="K97" s="38" t="n"/>
    </row>
    <row r="98">
      <c r="B98" s="4">
        <f t="array" ref="B98">IF(LEN(TRIM(C98))=0,"","Fact_"&amp;TEXT(SUMPRODUCT(--(LEN(TRIM($C$2:C96))&gt;0))-1,"000"))</f>
        <v/>
      </c>
      <c r="C98" s="6" t="n"/>
      <c r="D98" s="28" t="n">
        <v>45492</v>
      </c>
      <c r="E98" s="6" t="n"/>
      <c r="F98" s="21">
        <f>IF(Tabla1[[#This Row],[Días a vencer]]="","",D98+E98)</f>
        <v/>
      </c>
      <c r="G98" s="22">
        <f>IF(E98="","VACIO",IF(H98&lt;0,"Vencido hace "&amp;H98*-1&amp;" días",IF(H98=0,"Vence hoy",IF(H98&lt;4,"Tiene "&amp;H98&amp;" días","Faltan "&amp;H98&amp;" días"))))</f>
        <v/>
      </c>
      <c r="H98" s="23">
        <f>F98-$B$2</f>
        <v/>
      </c>
      <c r="I98" s="84" t="n"/>
      <c r="J98" s="37" t="n"/>
      <c r="K98" s="38" t="n"/>
    </row>
    <row r="99">
      <c r="B99" s="4">
        <f t="array" ref="B99">IF(LEN(TRIM(C99))=0,"","Fact_"&amp;TEXT(SUMPRODUCT(--(LEN(TRIM($C$2:C97))&gt;0))-1,"000"))</f>
        <v/>
      </c>
      <c r="C99" s="6" t="inlineStr">
        <is>
          <t xml:space="preserve">Christopher Green </t>
        </is>
      </c>
      <c r="D99" s="29" t="n">
        <v>45950</v>
      </c>
      <c r="E99" s="6" t="n">
        <v>90</v>
      </c>
      <c r="F99" s="24">
        <f>IF(Tabla1[[#This Row],[Días a vencer]]="","",D99+E99)</f>
        <v/>
      </c>
      <c r="G99" s="25">
        <f>IF(E99="","VACIO",IF(H99&lt;0,"Vencido hace "&amp;H99*-1&amp;" días",IF(H99=0,"Vence hoy",IF(H99&lt;4,"Tiene "&amp;H99&amp;" días","Faltan "&amp;H99&amp;" días"))))</f>
        <v/>
      </c>
      <c r="H99" s="26">
        <f>F99-$B$2</f>
        <v/>
      </c>
      <c r="I99" s="49" t="inlineStr">
        <is>
          <t>HBO Max</t>
        </is>
      </c>
      <c r="J99" s="37" t="inlineStr">
        <is>
          <t>josemanuelhuerta@prodigy.net.mx:Gearsofwar3</t>
        </is>
      </c>
      <c r="K99" s="59" t="inlineStr">
        <is>
          <t>FAMILIAR 0/5</t>
        </is>
      </c>
      <c r="L99" s="37" t="inlineStr">
        <is>
          <t>https://www.spotify.com/mx/family/join/invite/zaxxc3BXX63C77y/</t>
        </is>
      </c>
    </row>
    <row r="100">
      <c r="B100" s="4">
        <f t="array" ref="B100">IF(LEN(TRIM(C100))=0,"","Fact_"&amp;TEXT(SUMPRODUCT(--(LEN(TRIM($C$2:C98))&gt;0))-1,"000"))</f>
        <v/>
      </c>
      <c r="C100" s="6" t="n"/>
      <c r="D100" s="29" t="n">
        <v>45289</v>
      </c>
      <c r="E100" s="6" t="n"/>
      <c r="F100" s="21">
        <f>IF(Tabla1[[#This Row],[Días a vencer]]="","",D100+E100)</f>
        <v/>
      </c>
      <c r="G100" s="22">
        <f>IF(E100="","VACIO",IF(H100&lt;0,"Vencido hace "&amp;H100*-1&amp;" días",IF(H100=0,"Vence hoy",IF(H100&lt;4,"Tiene "&amp;H100&amp;" días","Faltan "&amp;H100&amp;" días"))))</f>
        <v/>
      </c>
      <c r="H100" s="23">
        <f>F100-$B$2</f>
        <v/>
      </c>
      <c r="I100" s="84" t="n"/>
      <c r="J100" s="37" t="n"/>
      <c r="K100" s="38" t="n"/>
    </row>
    <row r="101">
      <c r="B101" s="4">
        <f t="array" ref="B101">IF(LEN(TRIM(C101))=0,"","Fact_"&amp;TEXT(SUMPRODUCT(--(LEN(TRIM($C$2:C99))&gt;0))-1,"000"))</f>
        <v/>
      </c>
      <c r="C101" s="6" t="n"/>
      <c r="D101" s="29" t="n">
        <v>45075</v>
      </c>
      <c r="E101" s="6" t="n"/>
      <c r="F101" s="21">
        <f>IF(Tabla1[[#This Row],[Días a vencer]]="","",D101+E101)</f>
        <v/>
      </c>
      <c r="G101" s="22">
        <f>IF(E101="","VACIO",IF(H101&lt;0,"Vencido hace "&amp;H101*-1&amp;" días",IF(H101=0,"Vence hoy",IF(H101&lt;4,"Tiene "&amp;H101&amp;" días","Faltan "&amp;H101&amp;" días"))))</f>
        <v/>
      </c>
      <c r="H101" s="23">
        <f>F101-$B$2</f>
        <v/>
      </c>
      <c r="I101" s="84" t="n"/>
      <c r="J101" s="37" t="n"/>
      <c r="K101" s="38" t="n"/>
    </row>
    <row r="102">
      <c r="B102" s="4">
        <f t="array" ref="B102">IF(LEN(TRIM(C102))=0,"","Fact_"&amp;TEXT(SUMPRODUCT(--(LEN(TRIM($C$2:C100))&gt;0))-1,"000"))</f>
        <v/>
      </c>
      <c r="C102" s="2" t="n"/>
      <c r="D102" s="29" t="n">
        <v>45475</v>
      </c>
      <c r="E102" s="6" t="n"/>
      <c r="F102" s="21">
        <f>IF(Tabla1[[#This Row],[Días a vencer]]="","",D102+E102)</f>
        <v/>
      </c>
      <c r="G102" s="22">
        <f>IF(E102="","VACIO",IF(H102&lt;0,"Vencido hace "&amp;H102*-1&amp;" días",IF(H102=0,"Vence hoy",IF(H102&lt;4,"Tiene "&amp;H102&amp;" días","Faltan "&amp;H102&amp;" días"))))</f>
        <v/>
      </c>
      <c r="H102" s="23">
        <f>F102-$B$2</f>
        <v/>
      </c>
      <c r="I102" s="84" t="n"/>
      <c r="J102" s="37" t="n"/>
      <c r="K102" s="38" t="n"/>
    </row>
    <row r="103">
      <c r="B103" s="4">
        <f t="array" ref="B103">IF(LEN(TRIM(C103))=0,"","Fact_"&amp;TEXT(SUMPRODUCT(--(LEN(TRIM($C$2:C101))&gt;0))-1,"000"))</f>
        <v/>
      </c>
      <c r="C103" s="2" t="n"/>
      <c r="D103" s="29" t="n">
        <v>45418</v>
      </c>
      <c r="E103" s="2" t="n"/>
      <c r="F103" s="21">
        <f>IF(Tabla1[[#This Row],[Días a vencer]]="","",D103+E103)</f>
        <v/>
      </c>
      <c r="G103" s="22">
        <f>IF(E103="","VACIO",IF(H103&lt;0,"Vencido hace "&amp;H103*-1&amp;" días",IF(H103=0,"Vence hoy",IF(H103&lt;4,"Tiene "&amp;H103&amp;" días","Faltan "&amp;H103&amp;" días"))))</f>
        <v/>
      </c>
      <c r="H103" s="23">
        <f>F103-$B$2</f>
        <v/>
      </c>
      <c r="I103" s="84" t="n"/>
      <c r="J103" s="37" t="n"/>
      <c r="K103" s="38" t="n"/>
    </row>
    <row r="104">
      <c r="B104" s="4">
        <f t="array" ref="B104">IF(LEN(TRIM(C104))=0,"","Fact_"&amp;TEXT(SUMPRODUCT(--(LEN(TRIM($C$2:C102))&gt;0))-1,"000"))</f>
        <v/>
      </c>
      <c r="C104" s="2" t="n"/>
      <c r="D104" s="28" t="n">
        <v>45133</v>
      </c>
      <c r="E104" s="2" t="n"/>
      <c r="F104" s="21">
        <f>IF(Tabla1[[#This Row],[Días a vencer]]="","",D104+E104)</f>
        <v/>
      </c>
      <c r="G104" s="22">
        <f>IF(E104="","VACIO",IF(H104&lt;0,"Vencido hace "&amp;H104*-1&amp;" días",IF(H104=0,"Vence hoy",IF(H104&lt;4,"Tiene "&amp;H104&amp;" días","Faltan "&amp;H104&amp;" días"))))</f>
        <v/>
      </c>
      <c r="H104" s="23">
        <f>F104-$B$2</f>
        <v/>
      </c>
      <c r="I104" s="84" t="n"/>
      <c r="J104" s="37" t="n"/>
      <c r="K104" s="38" t="n"/>
    </row>
    <row r="105">
      <c r="B105" s="4">
        <f t="array" ref="B105">IF(LEN(TRIM(C105))=0,"","Fact_"&amp;TEXT(SUMPRODUCT(--(LEN(TRIM($C$2:C103))&gt;0))-1,"000"))</f>
        <v/>
      </c>
      <c r="C105" s="6" t="n"/>
      <c r="D105" s="29" t="n">
        <v>45504</v>
      </c>
      <c r="E105" s="6" t="n"/>
      <c r="F105" s="21">
        <f>IF(Tabla1[[#This Row],[Días a vencer]]="","",D105+E105)</f>
        <v/>
      </c>
      <c r="G105" s="22">
        <f>IF(E105="","VACIO",IF(H105&lt;0,"Vencido hace "&amp;H105*-1&amp;" días",IF(H105=0,"Vence hoy",IF(H105&lt;4,"Tiene "&amp;H105&amp;" días","Faltan "&amp;H105&amp;" días"))))</f>
        <v/>
      </c>
      <c r="H105" s="23">
        <f>F105-$B$2</f>
        <v/>
      </c>
      <c r="I105" s="84" t="n"/>
      <c r="J105" s="37" t="n"/>
      <c r="K105" s="38" t="n"/>
    </row>
    <row r="106">
      <c r="B106" s="4">
        <f t="array" ref="B106">IF(LEN(TRIM(C106))=0,"","Fact_"&amp;TEXT(SUMPRODUCT(--(LEN(TRIM($C$2:C104))&gt;0))-1,"000"))</f>
        <v/>
      </c>
      <c r="C106" s="2" t="inlineStr">
        <is>
          <t>maik</t>
        </is>
      </c>
      <c r="D106" s="28" t="n">
        <v>45950</v>
      </c>
      <c r="E106" s="2" t="n">
        <v>365</v>
      </c>
      <c r="F106" s="21">
        <f>IF(Tabla1[[#This Row],[Días a vencer]]="","",D106+E106)</f>
        <v/>
      </c>
      <c r="G106" s="22">
        <f>IF(E106="","VACIO",IF(H106&lt;0,"Vencido hace "&amp;H106*-1&amp;" días",IF(H106=0,"Vence hoy",IF(H106&lt;4,"Tiene "&amp;H106&amp;" días","Faltan "&amp;H106&amp;" días"))))</f>
        <v/>
      </c>
      <c r="H106" s="23">
        <f>F106-$B$2</f>
        <v/>
      </c>
      <c r="I106" s="41" t="inlineStr">
        <is>
          <t>Amazon Prime</t>
        </is>
      </c>
      <c r="J106" s="37" t="inlineStr">
        <is>
          <t>uiiiii10y.o.u@gmail.com:Gearsofwar3</t>
        </is>
      </c>
      <c r="K106" s="38" t="n"/>
    </row>
    <row r="107">
      <c r="B107" s="4">
        <f t="array" ref="B107">IF(LEN(TRIM(C107))=0,"","Fact_"&amp;TEXT(SUMPRODUCT(--(LEN(TRIM($C$2:C105))&gt;0))-1,"000"))</f>
        <v/>
      </c>
      <c r="C107" s="31" t="inlineStr">
        <is>
          <t xml:space="preserve">Osvaldo carnicería </t>
        </is>
      </c>
      <c r="D107" s="29" t="n">
        <v>45809</v>
      </c>
      <c r="E107" s="6" t="n">
        <v>365</v>
      </c>
      <c r="F107" s="21">
        <f>IF(Tabla1[[#This Row],[Días a vencer]]="","",D107+E107)</f>
        <v/>
      </c>
      <c r="G107" s="22">
        <f>IF(E107="","VACIO",IF(H107&lt;0,"Vencido hace "&amp;H107*-1&amp;" días",IF(H107=0,"Vence hoy",IF(H107&lt;4,"Tiene "&amp;H107&amp;" días","Faltan "&amp;H107&amp;" días"))))</f>
        <v/>
      </c>
      <c r="H107" s="23">
        <f>F107-$B$2</f>
        <v/>
      </c>
      <c r="I107" s="41" t="inlineStr">
        <is>
          <t>Amazon Prime</t>
        </is>
      </c>
      <c r="J107" s="37" t="inlineStr">
        <is>
          <t>uiiiii10y.o.u@gmail.com:Arana6868</t>
        </is>
      </c>
      <c r="K107" s="38" t="n"/>
    </row>
    <row r="108" ht="17.25" customHeight="1" s="83">
      <c r="B108" s="4">
        <f t="array" ref="B108">IF(LEN(TRIM(C108))=0,"","Fact_"&amp;TEXT(SUMPRODUCT(--(LEN(TRIM($C$2:C106))&gt;0))-1,"000"))</f>
        <v/>
      </c>
      <c r="C108" s="2" t="n"/>
      <c r="D108" s="28" t="n">
        <v>45014</v>
      </c>
      <c r="E108" s="6" t="n"/>
      <c r="F108" s="21">
        <f>IF(Tabla1[[#This Row],[Días a vencer]]="","",D108+E108)</f>
        <v/>
      </c>
      <c r="G108" s="22">
        <f>IF(E108="","VACIO",IF(H108&lt;0,"Vencido hace "&amp;H108*-1&amp;" días",IF(H108=0,"Vence hoy",IF(H108&lt;4,"Tiene "&amp;H108&amp;" días","Faltan "&amp;H108&amp;" días"))))</f>
        <v/>
      </c>
      <c r="H108" s="23">
        <f>F108-$B$2</f>
        <v/>
      </c>
      <c r="I108" s="84" t="n"/>
      <c r="J108" s="65" t="inlineStr">
        <is>
          <t>o.sdd.djdj.djd@gmail.com:edit/password
edit/password</t>
        </is>
      </c>
      <c r="K108" s="38" t="inlineStr">
        <is>
          <t>FAMILIAR</t>
        </is>
      </c>
    </row>
    <row r="109">
      <c r="B109" s="4">
        <f t="array" ref="B109">IF(LEN(TRIM(C109))=0,"","Fact_"&amp;TEXT(SUMPRODUCT(--(LEN(TRIM($C$2:C107))&gt;0))-1,"000"))</f>
        <v/>
      </c>
      <c r="C109" s="2" t="n"/>
      <c r="D109" s="28" t="n">
        <v>45536</v>
      </c>
      <c r="E109" s="2" t="n"/>
      <c r="F109" s="21">
        <f>IF(Tabla1[[#This Row],[Días a vencer]]="","",D109+E109)</f>
        <v/>
      </c>
      <c r="G109" s="22">
        <f>IF(E109="","VACIO",IF(H109&lt;0,"Vencido hace "&amp;H109*-1&amp;" días",IF(H109=0,"Vence hoy",IF(H109&lt;4,"Tiene "&amp;H109&amp;" días","Faltan "&amp;H109&amp;" días"))))</f>
        <v/>
      </c>
      <c r="H109" s="23">
        <f>F109-$B$2</f>
        <v/>
      </c>
      <c r="I109" s="84" t="n"/>
      <c r="J109" s="37" t="n"/>
      <c r="K109" s="38" t="n"/>
    </row>
    <row r="110">
      <c r="B110" s="4">
        <f t="array" ref="B110">IF(LEN(TRIM(C110))=0,"","Fact_"&amp;TEXT(SUMPRODUCT(--(LEN(TRIM($C$2:C108))&gt;0))-1,"000"))</f>
        <v/>
      </c>
      <c r="C110" s="2" t="n"/>
      <c r="D110" s="28" t="n">
        <v>44926</v>
      </c>
      <c r="E110" s="6" t="n"/>
      <c r="F110" s="21">
        <f>IF(Tabla1[[#This Row],[Días a vencer]]="","",D110+E110)</f>
        <v/>
      </c>
      <c r="G110" s="22">
        <f>IF(E110="","VACIO",IF(H110&lt;0,"Vencido hace "&amp;H110*-1&amp;" días",IF(H110=0,"Vence hoy",IF(H110&lt;4,"Tiene "&amp;H110&amp;" días","Faltan "&amp;H110&amp;" días"))))</f>
        <v/>
      </c>
      <c r="H110" s="23">
        <f>F110-$B$2</f>
        <v/>
      </c>
      <c r="I110" s="84" t="n"/>
      <c r="J110" s="37" t="n"/>
      <c r="K110" s="38" t="n"/>
    </row>
    <row r="111">
      <c r="B111" s="4">
        <f t="array" ref="B111">IF(LEN(TRIM(C111))=0,"","Fact_"&amp;TEXT(SUMPRODUCT(--(LEN(TRIM($C$2:C109))&gt;0))-1,"000"))</f>
        <v/>
      </c>
      <c r="C111" s="2" t="inlineStr">
        <is>
          <t>VENDER</t>
        </is>
      </c>
      <c r="D111" s="28" t="n">
        <v>45251</v>
      </c>
      <c r="E111" s="2" t="n"/>
      <c r="F111" s="21">
        <f>IF(Tabla1[[#This Row],[Días a vencer]]="","",D111+E111)</f>
        <v/>
      </c>
      <c r="G111" s="22">
        <f>IF(E111="","VACIO",IF(H111&lt;0,"Vencido hace "&amp;H111*-1&amp;" días",IF(H111=0,"Vence hoy",IF(H111&lt;4,"Tiene "&amp;H111&amp;" días","Faltan "&amp;H111&amp;" días"))))</f>
        <v/>
      </c>
      <c r="H111" s="23">
        <f>F111-$B$2</f>
        <v/>
      </c>
      <c r="I111" s="42" t="inlineStr">
        <is>
          <t xml:space="preserve">Spotify </t>
        </is>
      </c>
      <c r="J111" s="37" t="inlineStr">
        <is>
          <t>kok.u3.39393.a@gmail.com:change-password@@</t>
        </is>
      </c>
      <c r="K111" s="68" t="inlineStr">
        <is>
          <t xml:space="preserve">VENDER___VENDER___VENDER   </t>
        </is>
      </c>
    </row>
    <row r="112">
      <c r="B112" s="4">
        <f t="array" ref="B112">IF(LEN(TRIM(C112))=0,"","Fact_"&amp;TEXT(SUMPRODUCT(--(LEN(TRIM($C$2:C110))&gt;0))-1,"000"))</f>
        <v/>
      </c>
      <c r="C112" s="2" t="n"/>
      <c r="D112" s="28" t="n">
        <v>44877</v>
      </c>
      <c r="E112" s="2" t="n"/>
      <c r="F112" s="21">
        <f>IF(Tabla1[[#This Row],[Días a vencer]]="","",D112+E112)</f>
        <v/>
      </c>
      <c r="G112" s="22">
        <f>IF(E112="","VACIO",IF(H112&lt;0,"Vencido hace "&amp;H112*-1&amp;" días",IF(H112=0,"Vence hoy",IF(H112&lt;4,"Tiene "&amp;H112&amp;" días","Faltan "&amp;H112&amp;" días"))))</f>
        <v/>
      </c>
      <c r="H112" s="23">
        <f>F112-$B$2</f>
        <v/>
      </c>
      <c r="I112" s="84" t="n"/>
      <c r="J112" s="37" t="n"/>
      <c r="K112" s="38" t="n"/>
    </row>
    <row r="113">
      <c r="B113" s="4">
        <f t="array" ref="B113">IF(LEN(TRIM(C113))=0,"","Fact_"&amp;TEXT(SUMPRODUCT(--(LEN(TRIM($C$2:C111))&gt;0))-1,"000"))</f>
        <v/>
      </c>
      <c r="C113" s="2" t="n"/>
      <c r="D113" s="28" t="n">
        <v>45335</v>
      </c>
      <c r="E113" s="2" t="n"/>
      <c r="F113" s="21">
        <f>IF(Tabla1[[#This Row],[Días a vencer]]="","",D113+E113)</f>
        <v/>
      </c>
      <c r="G113" s="22">
        <f>IF(E113="","VACIO",IF(H113&lt;0,"Vencido hace "&amp;H113*-1&amp;" días",IF(H113=0,"Vence hoy",IF(H113&lt;4,"Tiene "&amp;H113&amp;" días","Faltan "&amp;H113&amp;" días"))))</f>
        <v/>
      </c>
      <c r="H113" s="23">
        <f>F113-$B$2</f>
        <v/>
      </c>
      <c r="I113" s="84" t="n"/>
      <c r="J113" s="37" t="n"/>
      <c r="K113" s="38" t="n"/>
    </row>
    <row r="114">
      <c r="B114" s="4">
        <f t="array" ref="B114">IF(LEN(TRIM(C114))=0,"","Fact_"&amp;TEXT(SUMPRODUCT(--(LEN(TRIM($C$2:C112))&gt;0))-1,"000"))</f>
        <v/>
      </c>
      <c r="C114" s="2" t="n"/>
      <c r="D114" s="28" t="n">
        <v>45258</v>
      </c>
      <c r="E114" s="2" t="n"/>
      <c r="F114" s="21">
        <f>IF(Tabla1[[#This Row],[Días a vencer]]="","",D114+E114)</f>
        <v/>
      </c>
      <c r="G114" s="22">
        <f>IF(E114="","VACIO",IF(H114&lt;0,"Vencido hace "&amp;H114*-1&amp;" días",IF(H114=0,"Vence hoy",IF(H114&lt;4,"Tiene "&amp;H114&amp;" días","Faltan "&amp;H114&amp;" días"))))</f>
        <v/>
      </c>
      <c r="H114" s="23">
        <f>F114-$B$2</f>
        <v/>
      </c>
      <c r="I114" s="84" t="n"/>
      <c r="J114" s="37" t="n"/>
      <c r="K114" s="38" t="n"/>
    </row>
    <row r="115">
      <c r="B115" s="4">
        <f t="array" ref="B115">IF(LEN(TRIM(C115))=0,"","Fact_"&amp;TEXT(SUMPRODUCT(--(LEN(TRIM($C$2:C113))&gt;0))-1,"000"))</f>
        <v/>
      </c>
      <c r="C115" s="2" t="n"/>
      <c r="D115" s="28" t="n">
        <v>45442</v>
      </c>
      <c r="E115" s="2" t="n"/>
      <c r="F115" s="21">
        <f>IF(Tabla1[[#This Row],[Días a vencer]]="","",D115+E115)</f>
        <v/>
      </c>
      <c r="G115" s="22">
        <f>IF(E115="","VACIO",IF(H115&lt;0,"Vencido hace "&amp;H115*-1&amp;" días",IF(H115=0,"Vence hoy",IF(H115&lt;4,"Tiene "&amp;H115&amp;" días","Faltan "&amp;H115&amp;" días"))))</f>
        <v/>
      </c>
      <c r="H115" s="23">
        <f>F115-$B$2</f>
        <v/>
      </c>
      <c r="I115" s="84" t="n"/>
      <c r="J115" s="37" t="n"/>
      <c r="K115" s="38" t="n"/>
    </row>
    <row r="116">
      <c r="B116" s="4">
        <f t="array" ref="B116">IF(LEN(TRIM(C116))=0,"","Fact_"&amp;TEXT(SUMPRODUCT(--(LEN(TRIM($C$2:C114))&gt;0))-1,"000"))</f>
        <v/>
      </c>
      <c r="C116" s="2" t="n"/>
      <c r="D116" s="28" t="n">
        <v>45645</v>
      </c>
      <c r="E116" s="2" t="n"/>
      <c r="F116" s="21">
        <f>IF(Tabla1[[#This Row],[Días a vencer]]="","",D116+E116)</f>
        <v/>
      </c>
      <c r="G116" s="22">
        <f>IF(E116="","VACIO",IF(H116&lt;0,"Vencido hace "&amp;H116*-1&amp;" días",IF(H116=0,"Vence hoy",IF(H116&lt;4,"Tiene "&amp;H116&amp;" días","Faltan "&amp;H116&amp;" días"))))</f>
        <v/>
      </c>
      <c r="H116" s="23">
        <f>F116-$B$2</f>
        <v/>
      </c>
      <c r="J116" s="37" t="n"/>
      <c r="K116" s="38" t="n"/>
    </row>
    <row r="117">
      <c r="B117" s="4">
        <f t="array" ref="B117">IF(LEN(TRIM(C117))=0,"","Fact_"&amp;TEXT(SUMPRODUCT(--(LEN(TRIM($C$2:C115))&gt;0))-1,"000"))</f>
        <v/>
      </c>
      <c r="C117" s="2" t="n"/>
      <c r="D117" s="28" t="n">
        <v>45259</v>
      </c>
      <c r="E117" s="2" t="n"/>
      <c r="F117" s="21">
        <f>IF(Tabla1[[#This Row],[Días a vencer]]="","",D117+E117)</f>
        <v/>
      </c>
      <c r="G117" s="22">
        <f>IF(E117="","VACIO",IF(H117&lt;0,"Vencido hace "&amp;H117*-1&amp;" días",IF(H117=0,"Vence hoy",IF(H117&lt;4,"Tiene "&amp;H117&amp;" días","Faltan "&amp;H117&amp;" días"))))</f>
        <v/>
      </c>
      <c r="H117" s="23">
        <f>F117-$B$2</f>
        <v/>
      </c>
      <c r="I117" s="84" t="n"/>
      <c r="J117" s="37" t="n"/>
      <c r="K117" s="38" t="n"/>
    </row>
    <row r="118">
      <c r="B118" s="4">
        <f t="array" ref="B118">IF(LEN(TRIM(C118))=0,"","Fact_"&amp;TEXT(SUMPRODUCT(--(LEN(TRIM($C$2:C116))&gt;0))-1,"000"))</f>
        <v/>
      </c>
      <c r="C118" s="2" t="n"/>
      <c r="D118" s="28" t="n">
        <v>45164</v>
      </c>
      <c r="E118" s="2" t="n"/>
      <c r="F118" s="21">
        <f>IF(Tabla1[[#This Row],[Días a vencer]]="","",D118+E118)</f>
        <v/>
      </c>
      <c r="G118" s="22">
        <f>IF(E118="","VACIO",IF(H118&lt;0,"Vencido hace "&amp;H118*-1&amp;" días",IF(H118=0,"Vence hoy",IF(H118&lt;4,"Tiene "&amp;H118&amp;" días","Faltan "&amp;H118&amp;" días"))))</f>
        <v/>
      </c>
      <c r="H118" s="23">
        <f>F118-$B$2</f>
        <v/>
      </c>
      <c r="I118" s="84" t="n"/>
      <c r="J118" s="37" t="n"/>
      <c r="K118" s="38" t="n"/>
    </row>
    <row r="119">
      <c r="B119" s="4">
        <f t="array" ref="B119">IF(LEN(TRIM(C119))=0,"","Fact_"&amp;TEXT(SUMPRODUCT(--(LEN(TRIM($C$2:C117))&gt;0))-1,"000"))</f>
        <v/>
      </c>
      <c r="C119" s="6" t="n"/>
      <c r="D119" s="28" t="n">
        <v>45258</v>
      </c>
      <c r="E119" s="2" t="n"/>
      <c r="F119" s="21">
        <f>IF(Tabla1[[#This Row],[Días a vencer]]="","",D119+E119)</f>
        <v/>
      </c>
      <c r="G119" s="22">
        <f>IF(E119="","VACIO",IF(H119&lt;0,"Vencido hace "&amp;H119*-1&amp;" días",IF(H119=0,"Vence hoy",IF(H119&lt;4,"Tiene "&amp;H119&amp;" días","Faltan "&amp;H119&amp;" días"))))</f>
        <v/>
      </c>
      <c r="H119" s="23">
        <f>F119-$B$2</f>
        <v/>
      </c>
      <c r="I119" s="84" t="n"/>
      <c r="J119" s="37" t="n"/>
      <c r="K119" s="38" t="n"/>
    </row>
    <row r="120">
      <c r="B120" s="4">
        <f t="array" ref="B120">IF(LEN(TRIM(C120))=0,"","Fact_"&amp;TEXT(SUMPRODUCT(--(LEN(TRIM($C$2:C118))&gt;0))-1,"000"))</f>
        <v/>
      </c>
      <c r="C120" s="2" t="n"/>
      <c r="D120" s="28" t="n">
        <v>45419</v>
      </c>
      <c r="E120" s="2" t="n"/>
      <c r="F120" s="21">
        <f>IF(Tabla1[[#This Row],[Días a vencer]]="","",D120+E120)</f>
        <v/>
      </c>
      <c r="G120" s="22">
        <f>IF(E120="","VACIO",IF(H120&lt;0,"Vencido hace "&amp;H120*-1&amp;" días",IF(H120=0,"Vence hoy",IF(H120&lt;4,"Tiene "&amp;H120&amp;" días","Faltan "&amp;H120&amp;" días"))))</f>
        <v/>
      </c>
      <c r="H120" s="23">
        <f>F120-$B$2</f>
        <v/>
      </c>
      <c r="I120" s="84" t="n"/>
      <c r="J120" s="37" t="n"/>
      <c r="K120" s="38" t="n"/>
    </row>
    <row r="121">
      <c r="B121" s="4">
        <f t="array" ref="B121">IF(LEN(TRIM(C121))=0,"","Fact_"&amp;TEXT(SUMPRODUCT(--(LEN(TRIM($C$2:C119))&gt;0))-1,"000"))</f>
        <v/>
      </c>
      <c r="C121" s="6" t="n"/>
      <c r="D121" s="29" t="n">
        <v>44866</v>
      </c>
      <c r="E121" s="2" t="n"/>
      <c r="F121" s="21">
        <f>IF(Tabla1[[#This Row],[Días a vencer]]="","",D121+E121)</f>
        <v/>
      </c>
      <c r="G121" s="22">
        <f>IF(E121="","VACIO",IF(H121&lt;0,"Vencido hace "&amp;H121*-1&amp;" días",IF(H121=0,"Vence hoy",IF(H121&lt;4,"Tiene "&amp;H121&amp;" días","Faltan "&amp;H121&amp;" días"))))</f>
        <v/>
      </c>
      <c r="H121" s="23">
        <f>F121-$B$2</f>
        <v/>
      </c>
      <c r="I121" s="84" t="n"/>
      <c r="K121" s="38" t="n"/>
    </row>
    <row r="122">
      <c r="B122" s="4">
        <f t="array" ref="B122">IF(LEN(TRIM(C122))=0,"","Fact_"&amp;TEXT(SUMPRODUCT(--(LEN(TRIM($C$2:C120))&gt;0))-1,"000"))</f>
        <v/>
      </c>
      <c r="C122" s="2" t="n"/>
      <c r="D122" s="28" t="n">
        <v>44866</v>
      </c>
      <c r="E122" s="2" t="n"/>
      <c r="F122" s="21">
        <f>IF(Tabla1[[#This Row],[Días a vencer]]="","",D122+E122)</f>
        <v/>
      </c>
      <c r="G122" s="22">
        <f>IF(E122="","VACIO",IF(H122&lt;0,"Vencido hace "&amp;H122*-1&amp;" días",IF(H122=0,"Vence hoy",IF(H122&lt;4,"Tiene "&amp;H122&amp;" días","Faltan "&amp;H122&amp;" días"))))</f>
        <v/>
      </c>
      <c r="H122" s="23">
        <f>F122-$B$2</f>
        <v/>
      </c>
      <c r="I122" s="84" t="n"/>
      <c r="J122" s="37" t="n"/>
      <c r="K122" s="38" t="n"/>
    </row>
    <row r="123">
      <c r="B123" s="4">
        <f t="array" ref="B123">IF(LEN(TRIM(C123))=0,"","Fact_"&amp;TEXT(SUMPRODUCT(--(LEN(TRIM($C$2:C121))&gt;0))-1,"000"))</f>
        <v/>
      </c>
      <c r="C123" s="2" t="n"/>
      <c r="D123" s="28" t="n">
        <v>45133</v>
      </c>
      <c r="E123" s="2" t="n"/>
      <c r="F123" s="21">
        <f>IF(Tabla1[[#This Row],[Días a vencer]]="","",D123+E123)</f>
        <v/>
      </c>
      <c r="G123" s="22">
        <f>IF(E123="","VACIO",IF(H123&lt;0,"Vencido hace "&amp;H123*-1&amp;" días",IF(H123=0,"Vence hoy",IF(H123&lt;4,"Tiene "&amp;H123&amp;" días","Faltan "&amp;H123&amp;" días"))))</f>
        <v/>
      </c>
      <c r="H123" s="23">
        <f>F123-$B$2</f>
        <v/>
      </c>
      <c r="I123" s="84" t="n"/>
      <c r="J123" s="37" t="n"/>
      <c r="K123" s="38" t="n"/>
    </row>
    <row r="124">
      <c r="B124" s="4">
        <f t="array" ref="B124">IF(LEN(TRIM(C124))=0,"","Fact_"&amp;TEXT(SUMPRODUCT(--(LEN(TRIM($C$2:C122))&gt;0))-1,"000"))</f>
        <v/>
      </c>
      <c r="C124" s="2" t="inlineStr">
        <is>
          <t>VENDER</t>
        </is>
      </c>
      <c r="D124" s="28" t="n">
        <v>45910</v>
      </c>
      <c r="E124" s="2" t="n"/>
      <c r="F124" s="21">
        <f>IF(Tabla1[[#This Row],[Días a vencer]]="","",D124+E124)</f>
        <v/>
      </c>
      <c r="G124" s="22">
        <f>IF(E124="","VACIO",IF(H124&lt;0,"Vencido hace "&amp;H124*-1&amp;" días",IF(H124=0,"Vence hoy",IF(H124&lt;4,"Tiene "&amp;H124&amp;" días","Faltan "&amp;H124&amp;" días"))))</f>
        <v/>
      </c>
      <c r="H124" s="23">
        <f>F124-$B$2</f>
        <v/>
      </c>
      <c r="I124" s="42" t="inlineStr">
        <is>
          <t xml:space="preserve">Spotify </t>
        </is>
      </c>
      <c r="J124" s="37" t="inlineStr">
        <is>
          <t>salomnedgar@gmail.com:Gearsofwar3</t>
        </is>
      </c>
      <c r="K124" s="64" t="inlineStr">
        <is>
          <t xml:space="preserve">VENDER___VENDER___VENDER   </t>
        </is>
      </c>
    </row>
    <row r="125">
      <c r="B125" s="4">
        <f t="array" ref="B125">IF(LEN(TRIM(C125))=0,"","Fact_"&amp;TEXT(SUMPRODUCT(--(LEN(TRIM($C$2:C123))&gt;0))-1,"000"))</f>
        <v/>
      </c>
      <c r="C125" s="2" t="n"/>
      <c r="D125" s="28" t="n">
        <v>45952</v>
      </c>
      <c r="E125" s="2" t="n"/>
      <c r="F125" s="21">
        <f>IF(Tabla1[[#This Row],[Días a vencer]]="","",D125+E125)</f>
        <v/>
      </c>
      <c r="G125" s="22">
        <f>IF(E125="","VACIO",IF(H125&lt;0,"Vencido hace "&amp;H125*-1&amp;" días",IF(H125=0,"Vence hoy",IF(H125&lt;4,"Tiene "&amp;H125&amp;" días","Faltan "&amp;H125&amp;" días"))))</f>
        <v/>
      </c>
      <c r="H125" s="23">
        <f>F125-$B$2</f>
        <v/>
      </c>
      <c r="I125" s="84" t="n"/>
      <c r="J125" s="37" t="n"/>
      <c r="K125" s="38" t="n"/>
    </row>
    <row r="126">
      <c r="B126" s="4">
        <f t="array" ref="B126">IF(LEN(TRIM(C126))=0,"","Fact_"&amp;TEXT(SUMPRODUCT(--(LEN(TRIM($C$2:C124))&gt;0))-1,"000"))</f>
        <v/>
      </c>
      <c r="C126" s="2" t="n"/>
      <c r="D126" s="28" t="n">
        <v>45020</v>
      </c>
      <c r="E126" s="2" t="n"/>
      <c r="F126" s="21">
        <f>IF(Tabla1[[#This Row],[Días a vencer]]="","",D126+E126)</f>
        <v/>
      </c>
      <c r="G126" s="22">
        <f>IF(E126="","VACIO",IF(H126&lt;0,"Vencido hace "&amp;H126*-1&amp;" días",IF(H126=0,"Vence hoy",IF(H126&lt;4,"Tiene "&amp;H126&amp;" días","Faltan "&amp;H126&amp;" días"))))</f>
        <v/>
      </c>
      <c r="H126" s="23">
        <f>F126-$B$2</f>
        <v/>
      </c>
      <c r="I126" s="84" t="n"/>
      <c r="J126" s="37" t="n"/>
      <c r="K126" s="38" t="n"/>
    </row>
    <row r="127">
      <c r="B127" s="4">
        <f t="array" ref="B127">IF(LEN(TRIM(C127))=0,"","Fact_"&amp;TEXT(SUMPRODUCT(--(LEN(TRIM($C$2:C125))&gt;0))-1,"000"))</f>
        <v/>
      </c>
      <c r="C127" s="2" t="inlineStr">
        <is>
          <t xml:space="preserve">Juan Carlos David Ramos Hernandez </t>
        </is>
      </c>
      <c r="D127" s="28" t="n">
        <v>45805</v>
      </c>
      <c r="E127" s="2" t="n">
        <v>365</v>
      </c>
      <c r="F127" s="21">
        <f>IF(Tabla1[[#This Row],[Días a vencer]]="","",D127+E127)</f>
        <v/>
      </c>
      <c r="G127" s="22">
        <f>IF(E127="","VACIO",IF(H127&lt;0,"Vencido hace "&amp;H127*-1&amp;" días",IF(H127=0,"Vence hoy",IF(H127&lt;4,"Tiene "&amp;H127&amp;" días","Faltan "&amp;H127&amp;" días"))))</f>
        <v/>
      </c>
      <c r="H127" s="23">
        <f>F127-$B$2</f>
        <v/>
      </c>
      <c r="I127" s="39" t="inlineStr">
        <is>
          <t>Vix plus</t>
        </is>
      </c>
      <c r="J127" s="37" t="inlineStr">
        <is>
          <t>juanpereez468@gmail.com:Juanperez68</t>
        </is>
      </c>
      <c r="K127" s="38" t="n"/>
    </row>
    <row r="128">
      <c r="B128" s="4">
        <f t="array" ref="B128">IF(LEN(TRIM(C128))=0,"","Fact_"&amp;TEXT(SUMPRODUCT(--(LEN(TRIM($C$2:C126))&gt;0))-1,"000"))</f>
        <v/>
      </c>
      <c r="C128" s="2" t="inlineStr">
        <is>
          <t xml:space="preserve">Balta Castroso </t>
        </is>
      </c>
      <c r="D128" s="28" t="n">
        <v>45796</v>
      </c>
      <c r="E128" s="2" t="n">
        <v>365</v>
      </c>
      <c r="F128" s="21">
        <f>IF(Tabla1[[#This Row],[Días a vencer]]="","",D128+E128)</f>
        <v/>
      </c>
      <c r="G128" s="22">
        <f>IF(E128="","VACIO",IF(H128&lt;0,"Vencido hace "&amp;H128*-1&amp;" días",IF(H128=0,"Vence hoy",IF(H128&lt;4,"Tiene "&amp;H128&amp;" días","Faltan "&amp;H128&amp;" días"))))</f>
        <v/>
      </c>
      <c r="H128" s="23">
        <f>F128-$B$2</f>
        <v/>
      </c>
      <c r="I128" s="41" t="inlineStr">
        <is>
          <t>Amazon Prime</t>
        </is>
      </c>
      <c r="J128" s="37" t="inlineStr">
        <is>
          <t>uiiiii10y.o.u@gmail.com:Arana6868</t>
        </is>
      </c>
      <c r="K128" s="38" t="n"/>
    </row>
    <row r="129">
      <c r="B129" s="4">
        <f t="array" ref="B129">IF(LEN(TRIM(C129))=0,"","Fact_"&amp;TEXT(SUMPRODUCT(--(LEN(TRIM($C$2:C127))&gt;0))-1,"000"))</f>
        <v/>
      </c>
      <c r="C129" s="6" t="inlineStr">
        <is>
          <t xml:space="preserve">Balta Castroso </t>
        </is>
      </c>
      <c r="D129" s="28" t="n">
        <v>45796</v>
      </c>
      <c r="E129" s="2" t="n">
        <v>365</v>
      </c>
      <c r="F129" s="21">
        <f>IF(Tabla1[[#This Row],[Días a vencer]]="","",D129+E129)</f>
        <v/>
      </c>
      <c r="G129" s="22">
        <f>IF(E129="","VACIO",IF(H129&lt;0,"Vencido hace "&amp;H129*-1&amp;" días",IF(H129=0,"Vence hoy",IF(H129&lt;4,"Tiene "&amp;H129&amp;" días","Faltan "&amp;H129&amp;" días"))))</f>
        <v/>
      </c>
      <c r="H129" s="23">
        <f>F129-$B$2</f>
        <v/>
      </c>
      <c r="I129" s="39" t="inlineStr">
        <is>
          <t>Vix plus</t>
        </is>
      </c>
      <c r="J129" s="37" t="inlineStr">
        <is>
          <t>juanpereez468@gmail.com:Juan6869</t>
        </is>
      </c>
      <c r="K129" s="38" t="n"/>
    </row>
    <row r="130">
      <c r="B130" s="4">
        <f t="array" ref="B130">IF(LEN(TRIM(C130))=0,"","Fact_"&amp;TEXT(SUMPRODUCT(--(LEN(TRIM($C$2:C128))&gt;0))-1,"000"))</f>
        <v/>
      </c>
      <c r="C130" s="2" t="n"/>
      <c r="D130" s="28" t="n">
        <v>45728</v>
      </c>
      <c r="E130" s="2" t="n"/>
      <c r="F130" s="21">
        <f>IF(Tabla1[[#This Row],[Días a vencer]]="","",D130+E130)</f>
        <v/>
      </c>
      <c r="G130" s="22">
        <f>IF(E130="","VACIO",IF(H130&lt;0,"Vencido hace "&amp;H130*-1&amp;" días",IF(H130=0,"Vence hoy",IF(H130&lt;4,"Tiene "&amp;H130&amp;" días","Faltan "&amp;H130&amp;" días"))))</f>
        <v/>
      </c>
      <c r="H130" s="23">
        <f>F130-$B$2</f>
        <v/>
      </c>
      <c r="I130" s="84" t="n"/>
      <c r="J130" s="37" t="n"/>
      <c r="K130" s="38" t="n"/>
    </row>
    <row r="131">
      <c r="B131" s="4">
        <f t="array" ref="B131">IF(LEN(TRIM(C131))=0,"","Fact_"&amp;TEXT(SUMPRODUCT(--(LEN(TRIM($C$2:C129))&gt;0))-1,"000"))</f>
        <v/>
      </c>
      <c r="C131" s="6" t="n"/>
      <c r="D131" s="28" t="n">
        <v>45483</v>
      </c>
      <c r="E131" s="2" t="n"/>
      <c r="F131" s="21">
        <f>IF(Tabla1[[#This Row],[Días a vencer]]="","",D131+E131)</f>
        <v/>
      </c>
      <c r="G131" s="22">
        <f>IF(E131="","VACIO",IF(H131&lt;0,"Vencido hace "&amp;H131*-1&amp;" días",IF(H131=0,"Vence hoy",IF(H131&lt;4,"Tiene "&amp;H131&amp;" días","Faltan "&amp;H131&amp;" días"))))</f>
        <v/>
      </c>
      <c r="H131" s="23">
        <f>F131-$B$2</f>
        <v/>
      </c>
      <c r="I131" s="84" t="n"/>
      <c r="J131" s="37" t="n"/>
      <c r="K131" s="38" t="n"/>
    </row>
    <row r="132">
      <c r="B132" s="4">
        <f t="array" ref="B132">IF(LEN(TRIM(C132))=0,"","Fact_"&amp;TEXT(SUMPRODUCT(--(LEN(TRIM($C$2:C130))&gt;0))-1,"000"))</f>
        <v/>
      </c>
      <c r="C132" s="6" t="inlineStr">
        <is>
          <t xml:space="preserve">Luna Gonzalez Alvarez </t>
        </is>
      </c>
      <c r="D132" s="28" t="n">
        <v>45763</v>
      </c>
      <c r="E132" s="2" t="n">
        <v>365</v>
      </c>
      <c r="F132" s="21">
        <f>IF(Tabla1[[#This Row],[Días a vencer]]="","",D132+E132)</f>
        <v/>
      </c>
      <c r="G132" s="22">
        <f>IF(E132="","VACIO",IF(H132&lt;0,"Vencido hace "&amp;H132*-1&amp;" días",IF(H132=0,"Vence hoy",IF(H132&lt;4,"Tiene "&amp;H132&amp;" días","Faltan "&amp;H132&amp;" días"))))</f>
        <v/>
      </c>
      <c r="H132" s="23">
        <f>F132-$B$2</f>
        <v/>
      </c>
      <c r="I132" s="55" t="inlineStr">
        <is>
          <t>paramount +</t>
        </is>
      </c>
      <c r="J132" s="37" t="inlineStr">
        <is>
          <t>koku339.3.93a@gmail.com:Gearsofwar3</t>
        </is>
      </c>
      <c r="K132" s="38" t="inlineStr">
        <is>
          <t>FAMILIAR</t>
        </is>
      </c>
    </row>
    <row r="133">
      <c r="B133" s="4">
        <f t="array" ref="B133">IF(LEN(TRIM(C133))=0,"","Fact_"&amp;TEXT(SUMPRODUCT(--(LEN(TRIM($C$2:C131))&gt;0))-1,"000"))</f>
        <v/>
      </c>
      <c r="C133" s="2" t="inlineStr">
        <is>
          <t>VENDER</t>
        </is>
      </c>
      <c r="D133" s="28" t="n">
        <v>45763</v>
      </c>
      <c r="E133" s="2" t="n"/>
      <c r="F133" s="21">
        <f>IF(Tabla1[[#This Row],[Días a vencer]]="","",D133+E133)</f>
        <v/>
      </c>
      <c r="G133" s="22">
        <f>IF(E133="","VACIO",IF(H133&lt;0,"Vencido hace "&amp;H133*-1&amp;" días",IF(H133=0,"Vence hoy",IF(H133&lt;4,"Tiene "&amp;H133&amp;" días","Faltan "&amp;H133&amp;" días"))))</f>
        <v/>
      </c>
      <c r="H133" s="23">
        <f>F133-$B$2</f>
        <v/>
      </c>
      <c r="I133" s="55" t="inlineStr">
        <is>
          <t>paramount +</t>
        </is>
      </c>
      <c r="J133" s="37" t="inlineStr">
        <is>
          <t>koku339.3.93a@gmail.com:Passer6868@</t>
        </is>
      </c>
      <c r="K133" s="64" t="inlineStr">
        <is>
          <t xml:space="preserve">VENDER___VENDER___VENDER   </t>
        </is>
      </c>
    </row>
    <row r="134">
      <c r="B134" s="4">
        <f t="array" ref="B134">IF(LEN(TRIM(C134))=0,"","Fact_"&amp;TEXT(SUMPRODUCT(--(LEN(TRIM($C$2:C132))&gt;0))-1,"000"))</f>
        <v/>
      </c>
      <c r="C134" s="2" t="n"/>
      <c r="D134" s="28" t="n">
        <v>45361</v>
      </c>
      <c r="E134" s="2" t="n"/>
      <c r="F134" s="21">
        <f>IF(Tabla1[[#This Row],[Días a vencer]]="","",D134+E134)</f>
        <v/>
      </c>
      <c r="G134" s="22" t="n"/>
      <c r="H134" s="23">
        <f>F134-$B$2</f>
        <v/>
      </c>
      <c r="I134" s="84" t="n"/>
      <c r="J134" s="37" t="n"/>
      <c r="K134" s="38" t="n"/>
    </row>
    <row r="135">
      <c r="B135" s="4">
        <f t="array" ref="B135">IF(LEN(TRIM(C135))=0,"","Fact_"&amp;TEXT(SUMPRODUCT(--(LEN(TRIM($C$2:C133))&gt;0))-1,"000"))</f>
        <v/>
      </c>
      <c r="C135" s="2" t="n"/>
      <c r="D135" s="28" t="n">
        <v>45274</v>
      </c>
      <c r="E135" s="6" t="n"/>
      <c r="F135" s="21">
        <f>IF(Tabla1[[#This Row],[Días a vencer]]="","",D135+E135)</f>
        <v/>
      </c>
      <c r="G135" s="22">
        <f>IF(E135="","VACIO",IF(H135&lt;0,"Vencido hace "&amp;H135*-1&amp;" días",IF(H135=0,"Vence hoy",IF(H135&lt;4,"Tiene "&amp;H135&amp;" días","Faltan "&amp;H135&amp;" días"))))</f>
        <v/>
      </c>
      <c r="H135" s="23">
        <f>F135-$B$2</f>
        <v/>
      </c>
      <c r="I135" s="84" t="n"/>
      <c r="J135" s="46" t="n"/>
      <c r="K135" s="38" t="n"/>
    </row>
    <row r="136">
      <c r="B136" s="4">
        <f t="array" ref="B136">IF(LEN(TRIM(C136))=0,"","Fact_"&amp;TEXT(SUMPRODUCT(--(LEN(TRIM($C$2:C134))&gt;0))-1,"000"))</f>
        <v/>
      </c>
      <c r="C136" s="2" t="n"/>
      <c r="D136" s="28" t="n">
        <v>45216</v>
      </c>
      <c r="E136" s="2" t="n"/>
      <c r="F136" s="21">
        <f>IF(Tabla1[[#This Row],[Días a vencer]]="","",D136+E136)</f>
        <v/>
      </c>
      <c r="G136" s="22">
        <f>IF(E136="","VACIO",IF(H136&lt;0,"Vencido hace "&amp;H136*-1&amp;" días",IF(H136=0,"Vence hoy",IF(H136&lt;4,"Tiene "&amp;H136&amp;" días","Faltan "&amp;H136&amp;" días"))))</f>
        <v/>
      </c>
      <c r="H136" s="23">
        <f>F136-$B$2</f>
        <v/>
      </c>
      <c r="I136" s="84" t="n"/>
      <c r="J136" s="37" t="n"/>
      <c r="K136" s="38" t="n"/>
    </row>
    <row r="137">
      <c r="B137" s="4">
        <f t="array" ref="B137">IF(LEN(TRIM(C137))=0,"","Fact_"&amp;TEXT(SUMPRODUCT(--(LEN(TRIM($C$2:C135))&gt;0))-1,"000"))</f>
        <v/>
      </c>
      <c r="C137" s="6" t="n"/>
      <c r="D137" s="28" t="n">
        <v>45346</v>
      </c>
      <c r="E137" s="6" t="n"/>
      <c r="F137" s="21">
        <f>IF(Tabla1[[#This Row],[Días a vencer]]="","",D137+E137)</f>
        <v/>
      </c>
      <c r="G137" s="22">
        <f>IF(E137="","VACIO",IF(H137&lt;0,"Vencido hace "&amp;H137*-1&amp;" días",IF(H137=0,"Vence hoy",IF(H137&lt;4,"Tiene "&amp;H137&amp;" días","Faltan "&amp;H137&amp;" días"))))</f>
        <v/>
      </c>
      <c r="H137" s="23">
        <f>F137-$B$2</f>
        <v/>
      </c>
      <c r="I137" s="84" t="n"/>
      <c r="J137" s="37" t="n"/>
      <c r="K137" s="38" t="n"/>
    </row>
    <row r="138" ht="15" customHeight="1" s="83">
      <c r="B138" s="4">
        <f t="array" ref="B138">IF(LEN(TRIM(C138))=0,"","Fact_"&amp;TEXT(SUMPRODUCT(--(LEN(TRIM($C$2:C136))&gt;0))-1,"000"))</f>
        <v/>
      </c>
      <c r="C138" s="2" t="n"/>
      <c r="D138" s="28" t="n">
        <v>45346</v>
      </c>
      <c r="E138" s="6" t="n"/>
      <c r="F138" s="21">
        <f>IF(Tabla1[[#This Row],[Días a vencer]]="","",D138+E138)</f>
        <v/>
      </c>
      <c r="G138" s="22">
        <f>IF(E138="","VACIO",IF(H138&lt;0,"Vencido hace "&amp;H138*-1&amp;" días",IF(H138=0,"Vence hoy",IF(H138&lt;4,"Tiene "&amp;H138&amp;" días","Faltan "&amp;H138&amp;" días"))))</f>
        <v/>
      </c>
      <c r="H138" s="23">
        <f>F138-$B$2</f>
        <v/>
      </c>
      <c r="I138" s="84" t="n"/>
      <c r="J138" s="44" t="n"/>
      <c r="K138" s="38" t="n"/>
    </row>
    <row r="139" ht="15" customHeight="1" s="83">
      <c r="B139" s="4">
        <f t="array" ref="B139">IF(LEN(TRIM(C139))=0,"","Fact_"&amp;TEXT(SUMPRODUCT(--(LEN(TRIM($C$2:C137))&gt;0))-1,"000"))</f>
        <v/>
      </c>
      <c r="C139" s="6" t="n"/>
      <c r="D139" s="28" t="n">
        <v>45433</v>
      </c>
      <c r="E139" s="6" t="n"/>
      <c r="F139" s="21">
        <f>IF(Tabla1[[#This Row],[Días a vencer]]="","",D139+E139)</f>
        <v/>
      </c>
      <c r="G139" s="22">
        <f>IF(E139="","VACIO",IF(H139&lt;0,"Vencido hace "&amp;H139*-1&amp;" días",IF(H139=0,"Vence hoy",IF(H139&lt;4,"Tiene "&amp;H139&amp;" días","Faltan "&amp;H139&amp;" días"))))</f>
        <v/>
      </c>
      <c r="H139" s="23">
        <f>F139-$B$2</f>
        <v/>
      </c>
      <c r="I139" s="84" t="n"/>
      <c r="J139" s="80" t="n"/>
      <c r="K139" s="38" t="n"/>
    </row>
    <row r="140">
      <c r="B140" s="4">
        <f t="array" ref="B140">IF(LEN(TRIM(C140))=0,"","Fact_"&amp;TEXT(SUMPRODUCT(--(LEN(TRIM($C$2:C138))&gt;0))-1,"000"))</f>
        <v/>
      </c>
      <c r="C140" s="2" t="n"/>
      <c r="D140" s="28" t="n">
        <v>45447</v>
      </c>
      <c r="E140" s="2" t="n"/>
      <c r="F140" s="21">
        <f>IF(Tabla1[[#This Row],[Días a vencer]]="","",D140+E140)</f>
        <v/>
      </c>
      <c r="G140" s="22">
        <f>IF(E140="","VACIO",IF(H140&lt;0,"Vencido hace "&amp;H140*-1&amp;" días",IF(H140=0,"Vence hoy",IF(H140&lt;4,"Tiene "&amp;H140&amp;" días","Faltan "&amp;H140&amp;" días"))))</f>
        <v/>
      </c>
      <c r="H140" s="23">
        <f>F140-$B$2</f>
        <v/>
      </c>
      <c r="I140" s="84" t="n"/>
      <c r="J140" s="52" t="n"/>
      <c r="K140" s="38" t="n"/>
    </row>
    <row r="141">
      <c r="B141" s="4">
        <f t="array" ref="B141">IF(LEN(TRIM(C141))=0,"","Fact_"&amp;TEXT(SUMPRODUCT(--(LEN(TRIM($C$2:C139))&gt;0))-1,"000"))</f>
        <v/>
      </c>
      <c r="C141" s="6" t="inlineStr">
        <is>
          <t>Chris Zamora</t>
        </is>
      </c>
      <c r="D141" s="29" t="n">
        <v>45950</v>
      </c>
      <c r="E141" s="6" t="n">
        <v>90</v>
      </c>
      <c r="F141" s="21">
        <f>IF(Tabla1[[#This Row],[Días a vencer]]="","",D141+E141)</f>
        <v/>
      </c>
      <c r="G141" s="22">
        <f>IF(E141="","VACIO",IF(H141&lt;0,"Vencido hace "&amp;H141*-1&amp;" días",IF(H141=0,"Vence hoy",IF(H141&lt;4,"Tiene "&amp;H141&amp;" días","Faltan "&amp;H141&amp;" días"))))</f>
        <v/>
      </c>
      <c r="H141" s="23">
        <f>F141-$B$2</f>
        <v/>
      </c>
      <c r="I141" s="42" t="inlineStr">
        <is>
          <t xml:space="preserve">Spotify </t>
        </is>
      </c>
      <c r="J141" s="37" t="inlineStr">
        <is>
          <t>o.sdd.djdj.djd@gmail.com:a12345678</t>
        </is>
      </c>
      <c r="K141" s="38" t="inlineStr">
        <is>
          <t>FAMILIAR</t>
        </is>
      </c>
    </row>
    <row r="142">
      <c r="B142" s="4">
        <f t="array" ref="B142">IF(LEN(TRIM(C142))=0,"","Fact_"&amp;TEXT(SUMPRODUCT(--(LEN(TRIM($C$2:C140))&gt;0))-1,"000"))</f>
        <v/>
      </c>
      <c r="C142" s="32" t="n"/>
      <c r="D142" s="29" t="n">
        <v>45749</v>
      </c>
      <c r="E142" s="35" t="n"/>
      <c r="F142" s="21">
        <f>IF(Tabla1[[#This Row],[Días a vencer]]="","",D142+E142)</f>
        <v/>
      </c>
      <c r="G142" s="22">
        <f>IF(E142="","VACIO",IF(H142&lt;0,"Vencido hace "&amp;H142*-1&amp;" días",IF(H142=0,"Vence hoy",IF(H142&lt;4,"Tiene "&amp;H142&amp;" días","Faltan "&amp;H142&amp;" días"))))</f>
        <v/>
      </c>
      <c r="H142" s="23">
        <f>F142-$B$2</f>
        <v/>
      </c>
      <c r="I142" s="42" t="inlineStr">
        <is>
          <t xml:space="preserve">Spotify </t>
        </is>
      </c>
      <c r="J142" s="67" t="inlineStr">
        <is>
          <t>juanp.er.eez468@gmail.com:change-password/</t>
        </is>
      </c>
      <c r="K142" s="64" t="inlineStr">
        <is>
          <t xml:space="preserve">VENDER___VENDER___VENDER   </t>
        </is>
      </c>
    </row>
    <row r="143">
      <c r="B143" s="4">
        <f t="array" ref="B143">IF(LEN(TRIM(C143))=0,"","Fact_"&amp;TEXT(SUMPRODUCT(--(LEN(TRIM($C$2:C141))&gt;0))-1,"000"))</f>
        <v/>
      </c>
      <c r="C143" s="2" t="inlineStr">
        <is>
          <t xml:space="preserve">Félipe Herrera </t>
        </is>
      </c>
      <c r="D143" s="29" t="n">
        <v>45749</v>
      </c>
      <c r="E143" s="6" t="n">
        <v>365</v>
      </c>
      <c r="F143" s="21">
        <f>IF(Tabla1[[#This Row],[Días a vencer]]="","",D143+E143)</f>
        <v/>
      </c>
      <c r="G143" s="22">
        <f>IF(E143="","VACIO",IF(H143&lt;0,"Vencido hace "&amp;H143*-1&amp;" días",IF(H143=0,"Vence hoy",IF(H143&lt;4,"Tiene "&amp;H143&amp;" días","Faltan "&amp;H143&amp;" días"))))</f>
        <v/>
      </c>
      <c r="H143" s="23">
        <f>F143-$B$2</f>
        <v/>
      </c>
      <c r="I143" s="42" t="inlineStr">
        <is>
          <t xml:space="preserve">Spotify </t>
        </is>
      </c>
      <c r="J143" s="75" t="inlineStr">
        <is>
          <t>j.o.n.as.10.101121n@gmail.com:gearsofwar3</t>
        </is>
      </c>
      <c r="K143" s="38" t="n"/>
    </row>
    <row r="144">
      <c r="B144" s="4">
        <f t="array" ref="B144">IF(LEN(TRIM(C144))=0,"","Fact_"&amp;TEXT(SUMPRODUCT(--(LEN(TRIM($C$2:C142))&gt;0))-1,"000"))</f>
        <v/>
      </c>
      <c r="C144" s="2" t="n"/>
      <c r="D144" s="29" t="n">
        <v>45258</v>
      </c>
      <c r="E144" s="2" t="n"/>
      <c r="F144" s="21">
        <f>IF(Tabla1[[#This Row],[Días a vencer]]="","",D144+E144)</f>
        <v/>
      </c>
      <c r="G144" s="22">
        <f>IF(E144="","VACIO",IF(H144&lt;0,"Vencido hace "&amp;H144*-1&amp;" días",IF(H144=0,"Vence hoy",IF(H144&lt;4,"Tiene "&amp;H144&amp;" días","Faltan "&amp;H144&amp;" días"))))</f>
        <v/>
      </c>
      <c r="H144" s="23">
        <f>F144-$B$2</f>
        <v/>
      </c>
      <c r="I144" s="84" t="n"/>
      <c r="J144" s="37" t="n"/>
      <c r="K144" s="38" t="n"/>
    </row>
    <row r="145">
      <c r="B145" s="4">
        <f t="array" ref="B145">IF(LEN(TRIM(C145))=0,"","Fact_"&amp;TEXT(SUMPRODUCT(--(LEN(TRIM($C$2:C143))&gt;0))-1,"000"))</f>
        <v/>
      </c>
      <c r="C145" s="2" t="n"/>
      <c r="D145" s="29" t="n">
        <v>45359</v>
      </c>
      <c r="E145" s="2" t="n"/>
      <c r="F145" s="21">
        <f>IF(Tabla1[[#This Row],[Días a vencer]]="","",D145+E145)</f>
        <v/>
      </c>
      <c r="G145" s="22">
        <f>IF(E145="","VACIO",IF(H145&lt;0,"Vencido hace "&amp;H145*-1&amp;" días",IF(H145=0,"Vence hoy",IF(H145&lt;4,"Tiene "&amp;H145&amp;" días","Faltan "&amp;H145&amp;" días"))))</f>
        <v/>
      </c>
      <c r="H145" s="23">
        <f>F145-$B$2</f>
        <v/>
      </c>
      <c r="I145" s="84" t="n"/>
      <c r="K145" s="38" t="n"/>
    </row>
    <row r="146">
      <c r="B146" s="4">
        <f t="array" ref="B146">IF(LEN(TRIM(C146))=0,"","Fact_"&amp;TEXT(SUMPRODUCT(--(LEN(TRIM($C$2:C144))&gt;0))-1,"000"))</f>
        <v/>
      </c>
      <c r="C146" s="2" t="n"/>
      <c r="D146" s="29" t="n">
        <v>45448</v>
      </c>
      <c r="E146" s="2" t="n"/>
      <c r="F146" s="21">
        <f>IF(Tabla1[[#This Row],[Días a vencer]]="","",D146+E146)</f>
        <v/>
      </c>
      <c r="G146" s="22" t="n"/>
      <c r="H146" s="23">
        <f>F146-$B$2</f>
        <v/>
      </c>
      <c r="I146" s="84" t="n"/>
      <c r="J146" s="37" t="n"/>
      <c r="K146" s="38" t="n"/>
    </row>
    <row r="147">
      <c r="B147" s="4">
        <f t="array" ref="B147">IF(LEN(TRIM(C147))=0,"","Fact_"&amp;TEXT(SUMPRODUCT(--(LEN(TRIM($C$2:C145))&gt;0))-1,"000"))</f>
        <v/>
      </c>
      <c r="C147" s="2" t="n"/>
      <c r="D147" s="28" t="n">
        <v>45175</v>
      </c>
      <c r="E147" s="2" t="n"/>
      <c r="F147" s="21">
        <f>IF(Tabla1[[#This Row],[Días a vencer]]="","",D147+E147)</f>
        <v/>
      </c>
      <c r="G147" s="22">
        <f>IF(E147="","VACIO",IF(H147&lt;0,"Vencido hace "&amp;H147*-1&amp;" días",IF(H147=0,"Vence hoy",IF(H147&lt;4,"Tiene "&amp;H147&amp;" días","Faltan "&amp;H147&amp;" días"))))</f>
        <v/>
      </c>
      <c r="H147" s="23">
        <f>F147-$B$2</f>
        <v/>
      </c>
      <c r="I147" s="84" t="n"/>
      <c r="J147" s="37" t="n"/>
      <c r="K147" s="38" t="inlineStr">
        <is>
          <t>FAMILIAR</t>
        </is>
      </c>
    </row>
    <row r="148">
      <c r="B148" s="4">
        <f t="array" ref="B148">IF(LEN(TRIM(C148))=0,"","Fact_"&amp;TEXT(SUMPRODUCT(--(LEN(TRIM($C$2:C146))&gt;0))-1,"000"))</f>
        <v/>
      </c>
      <c r="C148" s="6" t="n"/>
      <c r="D148" s="28" t="n">
        <v>45122</v>
      </c>
      <c r="E148" s="2" t="n"/>
      <c r="F148" s="21">
        <f>IF(Tabla1[[#This Row],[Días a vencer]]="","",D148+E148)</f>
        <v/>
      </c>
      <c r="G148" s="22">
        <f>IF(E148="","VACIO",IF(H148&lt;0,"Vencido hace "&amp;H148*-1&amp;" días",IF(H148=0,"Vence hoy",IF(H148&lt;4,"Tiene "&amp;H148&amp;" días","Faltan "&amp;H148&amp;" días"))))</f>
        <v/>
      </c>
      <c r="H148" s="23">
        <f>F148-$B$2</f>
        <v/>
      </c>
      <c r="I148" s="84" t="n"/>
      <c r="J148" s="37" t="n"/>
      <c r="K148" s="38" t="n"/>
    </row>
    <row r="149">
      <c r="B149" s="4">
        <f t="array" ref="B149">IF(LEN(TRIM(C149))=0,"","Fact_"&amp;TEXT(SUMPRODUCT(--(LEN(TRIM($C$2:C147))&gt;0))-1,"000"))</f>
        <v/>
      </c>
      <c r="C149" s="6" t="n"/>
      <c r="D149" s="29" t="n">
        <v>45197</v>
      </c>
      <c r="E149" s="6" t="n"/>
      <c r="F149" s="21">
        <f>IF(Tabla1[[#This Row],[Días a vencer]]="","",D149+E149)</f>
        <v/>
      </c>
      <c r="G149" s="22">
        <f>IF(E149="","VACIO",IF(H149&lt;0,"Vencido hace "&amp;H149*-1&amp;" días",IF(H149=0,"Vence hoy",IF(H149&lt;4,"Tiene "&amp;H149&amp;" días","Faltan "&amp;H149&amp;" días"))))</f>
        <v/>
      </c>
      <c r="H149" s="23">
        <f>F149-$B$2</f>
        <v/>
      </c>
      <c r="I149" s="84" t="n"/>
      <c r="J149" s="37" t="n"/>
      <c r="K149" s="38" t="inlineStr">
        <is>
          <t>FAMILIAR</t>
        </is>
      </c>
    </row>
    <row r="150">
      <c r="B150" s="4">
        <f t="array" ref="B150">IF(LEN(TRIM(C150))=0,"","Fact_"&amp;TEXT(SUMPRODUCT(--(LEN(TRIM($C$2:C148))&gt;0))-1,"000"))</f>
        <v/>
      </c>
      <c r="C150" s="2" t="n"/>
      <c r="D150" s="28" t="n">
        <v>45510</v>
      </c>
      <c r="E150" s="6" t="n"/>
      <c r="F150" s="21">
        <f>IF(Tabla1[[#This Row],[Días a vencer]]="","",D150+E150)</f>
        <v/>
      </c>
      <c r="G150" s="22">
        <f>IF(E150="","VACIO",IF(H150&lt;0,"Vencido hace "&amp;H150*-1&amp;" días",IF(H150=0,"Vence hoy",IF(H150&lt;4,"Tiene "&amp;H150&amp;" días","Faltan "&amp;H150&amp;" días"))))</f>
        <v/>
      </c>
      <c r="H150" s="23">
        <f>F150-$B$2</f>
        <v/>
      </c>
      <c r="I150" s="84" t="n"/>
      <c r="J150" s="37" t="n"/>
      <c r="K150" s="38" t="n"/>
    </row>
    <row r="151">
      <c r="B151" s="4">
        <f t="array" ref="B151">IF(LEN(TRIM(C151))=0,"","Fact_"&amp;TEXT(SUMPRODUCT(--(LEN(TRIM($C$2:C149))&gt;0))-1,"000"))</f>
        <v/>
      </c>
      <c r="C151" s="2" t="n"/>
      <c r="D151" s="29" t="n">
        <v>45091</v>
      </c>
      <c r="E151" s="6" t="n"/>
      <c r="F151" s="21">
        <f>IF(Tabla1[[#This Row],[Días a vencer]]="","",D151+E151)</f>
        <v/>
      </c>
      <c r="G151" s="22">
        <f>IF(E151="","VACIO",IF(H151&lt;0,"Vencido hace "&amp;H151*-1&amp;" días",IF(H151=0,"Vence hoy",IF(H151&lt;4,"Tiene "&amp;H151&amp;" días","Faltan "&amp;H151&amp;" días"))))</f>
        <v/>
      </c>
      <c r="H151" s="23">
        <f>F151-$B$2</f>
        <v/>
      </c>
      <c r="I151" s="84" t="n"/>
      <c r="J151" s="37" t="n"/>
      <c r="K151" s="38" t="n"/>
    </row>
    <row r="152">
      <c r="B152" s="4">
        <f t="array" ref="B152">IF(LEN(TRIM(C152))=0,"","Fact_"&amp;TEXT(SUMPRODUCT(--(LEN(TRIM($C$2:C150))&gt;0))-1,"000"))</f>
        <v/>
      </c>
      <c r="C152" s="2" t="n"/>
      <c r="D152" s="29" t="n">
        <v>45374</v>
      </c>
      <c r="E152" s="6" t="n"/>
      <c r="F152" s="21">
        <f>IF(Tabla1[[#This Row],[Días a vencer]]="","",D152+E152)</f>
        <v/>
      </c>
      <c r="G152" s="22">
        <f>IF(E152="","VACIO",IF(H152&lt;0,"Vencido hace "&amp;H152*-1&amp;" días",IF(H152=0,"Vence hoy",IF(H152&lt;4,"Tiene "&amp;H152&amp;" días","Faltan "&amp;H152&amp;" días"))))</f>
        <v/>
      </c>
      <c r="H152" s="23">
        <f>F152-$B$2</f>
        <v/>
      </c>
      <c r="I152" s="84" t="n"/>
      <c r="J152" s="37" t="n"/>
      <c r="K152" s="38" t="n"/>
    </row>
    <row r="153">
      <c r="B153" s="4">
        <f t="array" ref="B153">IF(LEN(TRIM(C153))=0,"","Fact_"&amp;TEXT(SUMPRODUCT(--(LEN(TRIM($C$2:C151))&gt;0))-1,"000"))</f>
        <v/>
      </c>
      <c r="C153" s="2" t="n"/>
      <c r="D153" s="29" t="n">
        <v>45258</v>
      </c>
      <c r="E153" s="2" t="n"/>
      <c r="F153" s="21">
        <f>IF(Tabla1[[#This Row],[Días a vencer]]="","",D153+E153)</f>
        <v/>
      </c>
      <c r="G153" s="22">
        <f>IF(E153="","VACIO",IF(H153&lt;0,"Vencido hace "&amp;H153*-1&amp;" días",IF(H153=0,"Vence hoy",IF(H153&lt;4,"Tiene "&amp;H153&amp;" días","Faltan "&amp;H153&amp;" días"))))</f>
        <v/>
      </c>
      <c r="H153" s="23">
        <f>F153-$B$2</f>
        <v/>
      </c>
      <c r="I153" s="84" t="n"/>
      <c r="J153" s="37" t="n"/>
      <c r="K153" s="38" t="n"/>
    </row>
    <row r="154">
      <c r="B154" s="4">
        <f t="array" ref="B154">IF(LEN(TRIM(C154))=0,"","Fact_"&amp;TEXT(SUMPRODUCT(--(LEN(TRIM($C$2:C152))&gt;0))-1,"000"))</f>
        <v/>
      </c>
      <c r="C154" s="2" t="n"/>
      <c r="D154" s="28" t="n">
        <v>45040</v>
      </c>
      <c r="E154" s="2" t="n"/>
      <c r="F154" s="21">
        <f>IF(Tabla1[[#This Row],[Días a vencer]]="","",D154+E154)</f>
        <v/>
      </c>
      <c r="G154" s="22">
        <f>IF(E154="","VACIO",IF(H154&lt;0,"Vencido hace "&amp;H154*-1&amp;" días",IF(H154=0,"Vence hoy",IF(H154&lt;4,"Tiene "&amp;H154&amp;" días","Faltan "&amp;H154&amp;" días"))))</f>
        <v/>
      </c>
      <c r="H154" s="23">
        <f>F154-$B$2</f>
        <v/>
      </c>
      <c r="I154" s="84" t="n"/>
      <c r="J154" s="37" t="n"/>
      <c r="K154" s="38" t="n"/>
    </row>
    <row r="155">
      <c r="B155" s="4">
        <f t="array" ref="B155">IF(LEN(TRIM(C155))=0,"","Fact_"&amp;TEXT(SUMPRODUCT(--(LEN(TRIM($C$2:C153))&gt;0))-1,"000"))</f>
        <v/>
      </c>
      <c r="C155" s="2" t="n"/>
      <c r="D155" s="28" t="n">
        <v>45091</v>
      </c>
      <c r="E155" s="2" t="n"/>
      <c r="F155" s="21">
        <f>IF(Tabla1[[#This Row],[Días a vencer]]="","",D155+E155)</f>
        <v/>
      </c>
      <c r="G155" s="22">
        <f>IF(E155="","VACIO",IF(H155&lt;0,"Vencido hace "&amp;H155*-1&amp;" días",IF(H155=0,"Vence hoy",IF(H155&lt;4,"Tiene "&amp;H155&amp;" días","Faltan "&amp;H155&amp;" días"))))</f>
        <v/>
      </c>
      <c r="H155" s="23">
        <f>F155-$B$2</f>
        <v/>
      </c>
      <c r="I155" s="84" t="n"/>
      <c r="J155" s="37" t="n"/>
      <c r="K155" s="38" t="n"/>
    </row>
    <row r="156">
      <c r="B156" s="4">
        <f t="array" ref="B156">IF(LEN(TRIM(C156))=0,"","Fact_"&amp;TEXT(SUMPRODUCT(--(LEN(TRIM($C$2:C154))&gt;0))-1,"000"))</f>
        <v/>
      </c>
      <c r="C156" s="6" t="n"/>
      <c r="D156" s="28" t="n">
        <v>45776</v>
      </c>
      <c r="E156" s="2" t="n"/>
      <c r="F156" s="21">
        <f>IF(Tabla1[[#This Row],[Días a vencer]]="","",D156+E156)</f>
        <v/>
      </c>
      <c r="G156" s="22">
        <f>IF(E156="","VACIO",IF(H156&lt;0,"Vencido hace "&amp;H156*-1&amp;" días",IF(H156=0,"Vence hoy",IF(H156&lt;4,"Tiene "&amp;H156&amp;" días","Faltan "&amp;H156&amp;" días"))))</f>
        <v/>
      </c>
      <c r="H156" s="23">
        <f>F156-$B$2</f>
        <v/>
      </c>
      <c r="I156" s="84" t="n"/>
      <c r="J156" s="37" t="n"/>
      <c r="K156" s="38" t="n"/>
    </row>
    <row r="157">
      <c r="B157" s="4">
        <f t="array" ref="B157">IF(LEN(TRIM(C157))=0,"","Fact_"&amp;TEXT(SUMPRODUCT(--(LEN(TRIM($C$2:C155))&gt;0))-1,"000"))</f>
        <v/>
      </c>
      <c r="C157" s="6" t="n"/>
      <c r="D157" s="29" t="n">
        <v>45728</v>
      </c>
      <c r="E157" s="6" t="n"/>
      <c r="F157" s="21">
        <f>IF(Tabla1[[#This Row],[Días a vencer]]="","",D157+E157)</f>
        <v/>
      </c>
      <c r="G157" s="22">
        <f>IF(E157="","VACIO",IF(H157&lt;0,"Vencido hace "&amp;H157*-1&amp;" días",IF(H157=0,"Vence hoy",IF(H157&lt;4,"Tiene "&amp;H157&amp;" días","Faltan "&amp;H157&amp;" días"))))</f>
        <v/>
      </c>
      <c r="H157" s="23">
        <f>F157-$B$2</f>
        <v/>
      </c>
      <c r="I157" s="84" t="n"/>
      <c r="J157" s="37" t="n"/>
      <c r="K157" s="38" t="n"/>
    </row>
    <row r="158">
      <c r="B158" s="4">
        <f t="array" ref="B158">IF(LEN(TRIM(C158))=0,"","Fact_"&amp;TEXT(SUMPRODUCT(--(LEN(TRIM($C$2:C156))&gt;0))-1,"000"))</f>
        <v/>
      </c>
      <c r="C158" s="6" t="n"/>
      <c r="D158" s="28" t="n">
        <v>45587</v>
      </c>
      <c r="E158" s="2" t="n"/>
      <c r="F158" s="21">
        <f>IF(Tabla1[[#This Row],[Días a vencer]]="","",D158+E158)</f>
        <v/>
      </c>
      <c r="G158" s="22">
        <f>IF(E158="","VACIO",IF(H158&lt;0,"Vencido hace "&amp;H158*-1&amp;" días",IF(H158=0,"Vence hoy",IF(H158&lt;4,"Tiene "&amp;H158&amp;" días","Faltan "&amp;H158&amp;" días"))))</f>
        <v/>
      </c>
      <c r="H158" s="23">
        <f>F158-$B$2</f>
        <v/>
      </c>
      <c r="I158" s="84" t="n"/>
      <c r="J158" s="37" t="n"/>
      <c r="K158" s="38" t="n"/>
    </row>
    <row r="159">
      <c r="B159" s="4">
        <f t="array" ref="B159">IF(LEN(TRIM(C159))=0,"","Fact_"&amp;TEXT(SUMPRODUCT(--(LEN(TRIM($C$2:C157))&gt;0))-1,"000"))</f>
        <v/>
      </c>
      <c r="C159" s="6" t="n"/>
      <c r="D159" s="28" t="n">
        <v>45551</v>
      </c>
      <c r="E159" s="2" t="n"/>
      <c r="F159" s="21">
        <f>IF(Tabla1[[#This Row],[Días a vencer]]="","",D159+E159)</f>
        <v/>
      </c>
      <c r="G159" s="22">
        <f>IF(E159="","VACIO",IF(H159&lt;0,"Vencido hace "&amp;H159*-1&amp;" días",IF(H159=0,"Vence hoy",IF(H159&lt;4,"Tiene "&amp;H159&amp;" días","Faltan "&amp;H159&amp;" días"))))</f>
        <v/>
      </c>
      <c r="H159" s="23">
        <f>F159-$B$2</f>
        <v/>
      </c>
      <c r="I159" s="84" t="n"/>
      <c r="J159" s="37" t="n"/>
      <c r="K159" s="74" t="n"/>
    </row>
    <row r="160">
      <c r="B160" s="4">
        <f t="array" ref="B160">IF(LEN(TRIM(C160))=0,"","Fact_"&amp;TEXT(SUMPRODUCT(--(LEN(TRIM($C$2:C158))&gt;0))-1,"000"))</f>
        <v/>
      </c>
      <c r="C160" s="6" t="n"/>
      <c r="D160" s="28" t="n">
        <v>45433</v>
      </c>
      <c r="E160" s="2" t="n"/>
      <c r="F160" s="21">
        <f>IF(Tabla1[[#This Row],[Días a vencer]]="","",D160+E160)</f>
        <v/>
      </c>
      <c r="G160" s="22">
        <f>IF(E160="","VACIO",IF(H160&lt;0,"Vencido hace "&amp;H160*-1&amp;" días",IF(H160=0,"Vence hoy",IF(H160&lt;4,"Tiene "&amp;H160&amp;" días","Faltan "&amp;H160&amp;" días"))))</f>
        <v/>
      </c>
      <c r="H160" s="23">
        <f>F160-$B$2</f>
        <v/>
      </c>
      <c r="I160" s="84" t="n"/>
      <c r="J160" s="37" t="n"/>
      <c r="K160" s="38" t="n"/>
    </row>
    <row r="161">
      <c r="B161" s="4">
        <f t="array" ref="B161">IF(LEN(TRIM(C161))=0,"","Fact_"&amp;TEXT(SUMPRODUCT(--(LEN(TRIM($C$2:C159))&gt;0))-1,"000"))</f>
        <v/>
      </c>
      <c r="C161" s="2" t="inlineStr">
        <is>
          <t>VENDER</t>
        </is>
      </c>
      <c r="D161" s="28" t="n">
        <v>45350</v>
      </c>
      <c r="E161" s="2" t="n"/>
      <c r="F161" s="21">
        <f>IF(Tabla1[[#This Row],[Días a vencer]]="","",D161+E161)</f>
        <v/>
      </c>
      <c r="G161" s="22">
        <f>IF(E161="","VACIO",IF(H161&lt;0,"Vencido hace "&amp;H161*-1&amp;" días",IF(H161=0,"Vence hoy",IF(H161&lt;4,"Tiene "&amp;H161&amp;" días","Faltan "&amp;H161&amp;" días"))))</f>
        <v/>
      </c>
      <c r="H161" s="23">
        <f>F161-$B$2</f>
        <v/>
      </c>
      <c r="I161" s="41" t="inlineStr">
        <is>
          <t>Amazon Prime</t>
        </is>
      </c>
      <c r="J161" s="37" t="inlineStr">
        <is>
          <t>u.i.iiii10you@gmail.com:Gearsofwar3@@</t>
        </is>
      </c>
      <c r="K161" s="38" t="n"/>
    </row>
    <row r="162">
      <c r="B162" s="4">
        <f t="array" ref="B162">IF(LEN(TRIM(C162))=0,"","Fact_"&amp;TEXT(SUMPRODUCT(--(LEN(TRIM($C$2:C160))&gt;0))-1,"000"))</f>
        <v/>
      </c>
      <c r="C162" s="2" t="n"/>
      <c r="D162" s="29" t="n">
        <v>45258</v>
      </c>
      <c r="E162" s="6" t="n"/>
      <c r="F162" s="21">
        <f>IF(Tabla1[[#This Row],[Días a vencer]]="","",D162+E162)</f>
        <v/>
      </c>
      <c r="G162" s="22">
        <f>IF(E162="","VACIO",IF(H162&lt;0,"Vencido hace "&amp;H162*-1&amp;" días",IF(H162=0,"Vence hoy",IF(H162&lt;4,"Tiene "&amp;H162&amp;" días","Faltan "&amp;H162&amp;" días"))))</f>
        <v/>
      </c>
      <c r="H162" s="23">
        <f>F162-$B$2</f>
        <v/>
      </c>
      <c r="I162" s="84" t="n"/>
      <c r="J162" s="37" t="n"/>
      <c r="K162" s="48" t="n"/>
    </row>
    <row r="163">
      <c r="B163" s="4">
        <f t="array" ref="B163">IF(LEN(TRIM(C163))=0,"","Fact_"&amp;TEXT(SUMPRODUCT(--(LEN(TRIM($C$2:C161))&gt;0))-1,"000"))</f>
        <v/>
      </c>
      <c r="C163" s="2" t="n"/>
      <c r="D163" s="29" t="n">
        <v>44932</v>
      </c>
      <c r="E163" s="2" t="n"/>
      <c r="F163" s="21">
        <f>IF(Tabla1[[#This Row],[Días a vencer]]="","",D163+E163)</f>
        <v/>
      </c>
      <c r="G163" s="22">
        <f>IF(E163="","VACIO",IF(H163&lt;0,"Vencido hace "&amp;H163*-1&amp;" días",IF(H163=0,"Vence hoy",IF(H163&lt;4,"Tiene "&amp;H163&amp;" días","Faltan "&amp;H163&amp;" días"))))</f>
        <v/>
      </c>
      <c r="H163" s="23">
        <f>F163-$B$2</f>
        <v/>
      </c>
      <c r="I163" s="84" t="n"/>
      <c r="J163" s="53" t="n"/>
      <c r="K163" s="48" t="n"/>
    </row>
    <row r="164">
      <c r="B164" s="4">
        <f t="array" ref="B164">IF(LEN(TRIM(C164))=0,"","Fact_"&amp;TEXT(SUMPRODUCT(--(LEN(TRIM($C$2:C162))&gt;0))-1,"000"))</f>
        <v/>
      </c>
      <c r="C164" s="2" t="n"/>
      <c r="D164" s="28" t="n">
        <v>45191</v>
      </c>
      <c r="E164" s="2" t="n"/>
      <c r="F164" s="21">
        <f>IF(Tabla1[[#This Row],[Días a vencer]]="","",D164+E164)</f>
        <v/>
      </c>
      <c r="G164" s="22">
        <f>IF(E164="","VACIO",IF(H164&lt;0,"Vencido hace "&amp;H164*-1&amp;" días",IF(H164=0,"Vence hoy",IF(H164&lt;4,"Tiene "&amp;H164&amp;" días","Faltan "&amp;H164&amp;" días"))))</f>
        <v/>
      </c>
      <c r="H164" s="23">
        <f>F164-$B$2</f>
        <v/>
      </c>
      <c r="I164" s="84" t="n"/>
      <c r="J164" s="37" t="n"/>
      <c r="K164" s="38" t="n"/>
    </row>
    <row r="165">
      <c r="B165" s="4">
        <f t="array" ref="B165">IF(LEN(TRIM(C165))=0,"","Fact_"&amp;TEXT(SUMPRODUCT(--(LEN(TRIM($C$2:C163))&gt;0))-1,"000"))</f>
        <v/>
      </c>
      <c r="C165" s="2" t="n"/>
      <c r="D165" s="28" t="n">
        <v>45199</v>
      </c>
      <c r="E165" s="2" t="n"/>
      <c r="F165" s="21">
        <f>IF(Tabla1[[#This Row],[Días a vencer]]="","",D165+E165)</f>
        <v/>
      </c>
      <c r="G165" s="22">
        <f>IF(E165="","VACIO",IF(H165&lt;0,"Vencido hace "&amp;H165*-1&amp;" días",IF(H165=0,"Vence hoy",IF(H165&lt;4,"Tiene "&amp;H165&amp;" días","Faltan "&amp;H165&amp;" días"))))</f>
        <v/>
      </c>
      <c r="H165" s="23">
        <f>F165-$B$2</f>
        <v/>
      </c>
      <c r="I165" s="84" t="n"/>
      <c r="J165" s="37" t="n"/>
      <c r="K165" s="38" t="n"/>
    </row>
    <row r="166">
      <c r="B166" s="4">
        <f t="array" ref="B166">IF(LEN(TRIM(C166))=0,"","Fact_"&amp;TEXT(SUMPRODUCT(--(LEN(TRIM($C$2:C164))&gt;0))-1,"000"))</f>
        <v/>
      </c>
      <c r="C166" s="2" t="n"/>
      <c r="D166" s="28" t="n">
        <v>45259</v>
      </c>
      <c r="E166" s="2" t="n"/>
      <c r="F166" s="21">
        <f>IF(Tabla1[[#This Row],[Días a vencer]]="","",D166+E166)</f>
        <v/>
      </c>
      <c r="G166" s="22">
        <f>IF(E166="","VACIO",IF(H166&lt;0,"Vencido hace "&amp;H166*-1&amp;" días",IF(H166=0,"Vence hoy",IF(H166&lt;4,"Tiene "&amp;H166&amp;" días","Faltan "&amp;H166&amp;" días"))))</f>
        <v/>
      </c>
      <c r="H166" s="23">
        <f>F166-$B$2</f>
        <v/>
      </c>
      <c r="I166" s="84" t="n"/>
      <c r="J166" s="37" t="n"/>
      <c r="K166" s="38" t="n"/>
    </row>
    <row r="167">
      <c r="B167" s="4">
        <f t="array" ref="B167">IF(LEN(TRIM(C167))=0,"","Fact_"&amp;TEXT(SUMPRODUCT(--(LEN(TRIM($C$2:C165))&gt;0))-1,"000"))</f>
        <v/>
      </c>
      <c r="C167" s="6" t="n"/>
      <c r="D167" s="28" t="n">
        <v>45231</v>
      </c>
      <c r="E167" s="2" t="n"/>
      <c r="F167" s="21">
        <f>IF(Tabla1[[#This Row],[Días a vencer]]="","",D167+E167)</f>
        <v/>
      </c>
      <c r="G167" s="22">
        <f>IF(E167="","VACIO",IF(H167&lt;0,"Vencido hace "&amp;H167*-1&amp;" días",IF(H167=0,"Vence hoy",IF(H167&lt;4,"Tiene "&amp;H167&amp;" días","Faltan "&amp;H167&amp;" días"))))</f>
        <v/>
      </c>
      <c r="H167" s="23">
        <f>F167-$B$2</f>
        <v/>
      </c>
      <c r="I167" s="84" t="n"/>
      <c r="J167" s="54" t="n"/>
      <c r="K167" s="48" t="inlineStr">
        <is>
          <t>Jonas10101121n@gmail.com</t>
        </is>
      </c>
    </row>
    <row r="168">
      <c r="B168" s="4">
        <f t="array" ref="B168">IF(LEN(TRIM(C168))=0,"","Fact_"&amp;TEXT(SUMPRODUCT(--(LEN(TRIM($C$2:C166))&gt;0))-1,"000"))</f>
        <v/>
      </c>
      <c r="C168" s="2" t="inlineStr">
        <is>
          <t>chino</t>
        </is>
      </c>
      <c r="D168" s="28" t="n">
        <v>45789</v>
      </c>
      <c r="E168" s="2" t="n">
        <v>365</v>
      </c>
      <c r="F168" s="21">
        <f>IF(Tabla1[[#This Row],[Días a vencer]]="","",D168+E168)</f>
        <v/>
      </c>
      <c r="G168" s="22">
        <f>IF(E168="","VACIO",IF(H168&lt;0,"Vencido hace "&amp;H168*-1&amp;" días",IF(H168=0,"Vence hoy",IF(H168&lt;4,"Tiene "&amp;H168&amp;" días","Faltan "&amp;H168&amp;" días"))))</f>
        <v/>
      </c>
      <c r="H168" s="23">
        <f>F168-$B$2</f>
        <v/>
      </c>
      <c r="I168" s="76" t="inlineStr">
        <is>
          <t>Game Pass</t>
        </is>
      </c>
      <c r="J168" s="44" t="inlineStr">
        <is>
          <t>jupo933aa@outlook.com:gearsofwar3</t>
        </is>
      </c>
      <c r="K168" s="38" t="n"/>
    </row>
    <row r="169">
      <c r="B169" s="4">
        <f t="array" ref="B169">IF(LEN(TRIM(C169))=0,"","Fact_"&amp;TEXT(SUMPRODUCT(--(LEN(TRIM($C$2:C167))&gt;0))-1,"000"))</f>
        <v/>
      </c>
      <c r="C169" s="63" t="inlineStr">
        <is>
          <t xml:space="preserve">Luna Gonzalez Alvarez </t>
        </is>
      </c>
      <c r="D169" s="28" t="n">
        <v>45789</v>
      </c>
      <c r="E169" s="2" t="n">
        <v>365</v>
      </c>
      <c r="F169" s="21">
        <f>IF(Tabla1[[#This Row],[Días a vencer]]="","",D169+E169)</f>
        <v/>
      </c>
      <c r="G169" s="22">
        <f>IF(E169="","VACIO",IF(H169&lt;0,"Vencido hace "&amp;H169*-1&amp;" días",IF(H169=0,"Vence hoy",IF(H169&lt;4,"Tiene "&amp;H169&amp;" días","Faltan "&amp;H169&amp;" días"))))</f>
        <v/>
      </c>
      <c r="H169" s="23">
        <f>F169-$B$2</f>
        <v/>
      </c>
      <c r="I169" s="77" t="inlineStr">
        <is>
          <t>duoalingo</t>
        </is>
      </c>
      <c r="J169" s="75" t="inlineStr">
        <is>
          <t>uiii.ii.10y.o.u@gmail.com:Gearsofwar3@@</t>
        </is>
      </c>
      <c r="K169" s="38" t="n"/>
    </row>
    <row r="170">
      <c r="B170" s="4">
        <f t="array" ref="B170">IF(LEN(TRIM(C170))=0,"","Fact_"&amp;TEXT(SUMPRODUCT(--(LEN(TRIM($C$2:C168))&gt;0))-1,"000"))</f>
        <v/>
      </c>
      <c r="C170" s="2" t="inlineStr">
        <is>
          <t>bosss</t>
        </is>
      </c>
      <c r="D170" s="28" t="n">
        <v>45778</v>
      </c>
      <c r="E170" s="2" t="n">
        <v>365</v>
      </c>
      <c r="F170" s="21">
        <f>IF(Tabla1[[#This Row],[Días a vencer]]="","",D170+E170)</f>
        <v/>
      </c>
      <c r="G170" s="22">
        <f>IF(E170="","VACIO",IF(H170&lt;0,"Vencido hace "&amp;H170*-1&amp;" días",IF(H170=0,"Vence hoy",IF(H170&lt;4,"Tiene "&amp;H170&amp;" días","Faltan "&amp;H170&amp;" días"))))</f>
        <v/>
      </c>
      <c r="H170" s="23">
        <f>F170-$B$2</f>
        <v/>
      </c>
      <c r="I170" s="42" t="inlineStr">
        <is>
          <t xml:space="preserve">Spotify </t>
        </is>
      </c>
      <c r="J170" s="37" t="inlineStr">
        <is>
          <t>jua.nper.ee.z.4.6.8@gmail.com:Aa12345670</t>
        </is>
      </c>
      <c r="K170" s="38" t="n"/>
    </row>
    <row r="171">
      <c r="B171" s="4">
        <f t="array" ref="B171">IF(LEN(TRIM(C171))=0,"","Fact_"&amp;TEXT(SUMPRODUCT(--(LEN(TRIM($C$2:C169))&gt;0))-1,"000"))</f>
        <v/>
      </c>
      <c r="C171" s="2" t="inlineStr">
        <is>
          <t>bosss</t>
        </is>
      </c>
      <c r="D171" s="28" t="n">
        <v>45778</v>
      </c>
      <c r="E171" s="2" t="n">
        <v>365</v>
      </c>
      <c r="F171" s="21">
        <f>IF(Tabla1[[#This Row],[Días a vencer]]="","",D171+E171)</f>
        <v/>
      </c>
      <c r="G171" s="22">
        <f>IF(E171="","VACIO",IF(H171&lt;0,"Vencido hace "&amp;H171*-1&amp;" días",IF(H171=0,"Vence hoy",IF(H171&lt;4,"Tiene "&amp;H171&amp;" días","Faltan "&amp;H171&amp;" días"))))</f>
        <v/>
      </c>
      <c r="H171" s="23">
        <f>F171-$B$2</f>
        <v/>
      </c>
      <c r="I171" s="42" t="inlineStr">
        <is>
          <t xml:space="preserve">Spotify </t>
        </is>
      </c>
      <c r="J171" t="inlineStr">
        <is>
          <t>ui.iiii.10y.o.u@gmail.com:A123456789</t>
        </is>
      </c>
      <c r="K171" s="38" t="n"/>
    </row>
    <row r="172">
      <c r="B172" s="4">
        <f t="array" ref="B172">IF(LEN(TRIM(C172))=0,"","Fact_"&amp;TEXT(SUMPRODUCT(--(LEN(TRIM($C$2:C170))&gt;0))-1,"000"))</f>
        <v/>
      </c>
      <c r="C172" s="6" t="n"/>
      <c r="D172" s="28" t="n">
        <v>45895</v>
      </c>
      <c r="E172" s="6" t="n"/>
      <c r="F172" s="21">
        <f>IF(Tabla1[[#This Row],[Días a vencer]]="","",D172+E172)</f>
        <v/>
      </c>
      <c r="G172" s="22">
        <f>IF(E172="","VACIO",IF(H172&lt;0,"Vencido hace "&amp;H172*-1&amp;" días",IF(H172=0,"Vence hoy",IF(H172&lt;4,"Tiene "&amp;H172&amp;" días","Faltan "&amp;H172&amp;" días"))))</f>
        <v/>
      </c>
      <c r="H172" s="23">
        <f>F172-$B$2</f>
        <v/>
      </c>
      <c r="I172" s="84" t="n"/>
      <c r="J172" s="37" t="n"/>
      <c r="K172" s="38" t="n"/>
    </row>
    <row r="173">
      <c r="B173" s="4">
        <f t="array" ref="B173">IF(LEN(TRIM(C173))=0,"","Fact_"&amp;TEXT(SUMPRODUCT(--(LEN(TRIM($C$2:C171))&gt;0))-1,"000"))</f>
        <v/>
      </c>
      <c r="C173" s="2" t="n"/>
      <c r="D173" s="28" t="n">
        <v>44927</v>
      </c>
      <c r="E173" s="2" t="n"/>
      <c r="F173" s="21">
        <f>IF(Tabla1[[#This Row],[Días a vencer]]="","",D173+E173)</f>
        <v/>
      </c>
      <c r="G173" s="22">
        <f>IF(E173="","VACIO",IF(H173&lt;0,"Vencido hace "&amp;H173*-1&amp;" días",IF(H173=0,"Vence hoy",IF(H173&lt;4,"Tiene "&amp;H173&amp;" días","Faltan "&amp;H173&amp;" días"))))</f>
        <v/>
      </c>
      <c r="H173" s="23">
        <f>F173-$B$2</f>
        <v/>
      </c>
      <c r="I173" s="84" t="n"/>
      <c r="J173" s="44" t="n"/>
      <c r="K173" s="38" t="n"/>
    </row>
    <row r="174">
      <c r="B174" s="4">
        <f t="array" ref="B174">IF(LEN(TRIM(C174))=0,"","Fact_"&amp;TEXT(SUMPRODUCT(--(LEN(TRIM($C$2:C172))&gt;0))-1,"000"))</f>
        <v/>
      </c>
      <c r="C174" s="2" t="n"/>
      <c r="D174" s="28" t="n">
        <v>45910</v>
      </c>
      <c r="E174" s="2" t="n"/>
      <c r="F174" s="21">
        <f>IF(Tabla1[[#This Row],[Días a vencer]]="","",D174+E174)</f>
        <v/>
      </c>
      <c r="G174" s="22">
        <f>IF(E174="","VACIO",IF(H174&lt;0,"Vencido hace "&amp;H174*-1&amp;" días",IF(H174=0,"Vence hoy",IF(H174&lt;4,"Tiene "&amp;H174&amp;" días","Faltan "&amp;H174&amp;" días"))))</f>
        <v/>
      </c>
      <c r="H174" s="23">
        <f>F174-$B$2</f>
        <v/>
      </c>
      <c r="I174" s="84" t="n"/>
      <c r="J174" s="51" t="n"/>
      <c r="K174" s="38" t="n"/>
    </row>
    <row r="175">
      <c r="B175" s="4">
        <f t="array" ref="B175">IF(LEN(TRIM(C175))=0,"","Fact_"&amp;TEXT(SUMPRODUCT(--(LEN(TRIM($C$2:C173))&gt;0))-1,"000"))</f>
        <v/>
      </c>
      <c r="C175" s="2" t="n"/>
      <c r="D175" s="28" t="n">
        <v>45859</v>
      </c>
      <c r="E175" s="2" t="n"/>
      <c r="F175" s="21">
        <f>IF(Tabla1[[#This Row],[Días a vencer]]="","",D175+E175)</f>
        <v/>
      </c>
      <c r="G175" s="22">
        <f>IF(E175="","VACIO",IF(H175&lt;0,"Vencido hace "&amp;H175*-1&amp;" días",IF(H175=0,"Vence hoy",IF(H175&lt;4,"Tiene "&amp;H175&amp;" días","Faltan "&amp;H175&amp;" días"))))</f>
        <v/>
      </c>
      <c r="H175" s="23">
        <f>F175-$B$2</f>
        <v/>
      </c>
      <c r="I175" s="84" t="n"/>
      <c r="J175" s="51" t="n"/>
      <c r="K175" s="38" t="n"/>
    </row>
    <row r="176">
      <c r="B176" s="4">
        <f t="array" ref="B176">IF(LEN(TRIM(C176))=0,"","Fact_"&amp;TEXT(SUMPRODUCT(--(LEN(TRIM($C$2:C174))&gt;0))-1,"000"))</f>
        <v/>
      </c>
      <c r="C176" s="2" t="n"/>
      <c r="D176" s="28" t="n">
        <v>45348</v>
      </c>
      <c r="E176" s="2" t="n"/>
      <c r="F176" s="21">
        <f>IF(Tabla1[[#This Row],[Días a vencer]]="","",D176+E176)</f>
        <v/>
      </c>
      <c r="G176" s="22">
        <f>IF(E176="","VACIO",IF(H176&lt;0,"Vencido hace "&amp;H176*-1&amp;" días",IF(H176=0,"Vence hoy",IF(H176&lt;4,"Tiene "&amp;H176&amp;" días","Faltan "&amp;H176&amp;" días"))))</f>
        <v/>
      </c>
      <c r="H176" s="23">
        <f>F176-$B$2</f>
        <v/>
      </c>
      <c r="I176" s="84" t="n"/>
      <c r="J176" s="44" t="n"/>
      <c r="K176" s="38" t="n"/>
    </row>
    <row r="177">
      <c r="B177" s="4">
        <f t="array" ref="B177">IF(LEN(TRIM(C177))=0,"","Fact_"&amp;TEXT(SUMPRODUCT(--(LEN(TRIM($C$2:C175))&gt;0))-1,"000"))</f>
        <v/>
      </c>
      <c r="C177" s="6" t="n"/>
      <c r="D177" s="29" t="n">
        <v>44723</v>
      </c>
      <c r="E177" s="6" t="n"/>
      <c r="F177" s="21">
        <f>IF(Tabla1[[#This Row],[Días a vencer]]="","",D177+E177)</f>
        <v/>
      </c>
      <c r="G177" s="22">
        <f>IF(E177="","VACIO",IF(H177&lt;0,"Vencido hace "&amp;H177*-1&amp;" días",IF(H177=0,"Vence hoy",IF(H177&lt;4,"Tiene "&amp;H177&amp;" días","Faltan "&amp;H177&amp;" días"))))</f>
        <v/>
      </c>
      <c r="H177" s="23">
        <f>F177-$B$2</f>
        <v/>
      </c>
      <c r="I177" s="84" t="n"/>
      <c r="J177" s="37" t="n"/>
      <c r="K177" s="38" t="n"/>
    </row>
    <row r="178">
      <c r="B178" s="4">
        <f t="array" ref="B178">IF(LEN(TRIM(C178))=0,"","Fact_"&amp;TEXT(SUMPRODUCT(--(LEN(TRIM($C$2:C176))&gt;0))-1,"000"))</f>
        <v/>
      </c>
      <c r="C178" s="2" t="n"/>
      <c r="D178" s="28" t="n">
        <v>45646</v>
      </c>
      <c r="E178" s="2" t="n"/>
      <c r="F178" s="21">
        <f>IF(Tabla1[[#This Row],[Días a vencer]]="","",D178+E178)</f>
        <v/>
      </c>
      <c r="G178" s="22">
        <f>IF(E178="","VACIO",IF(H178&lt;0,"Vencido hace "&amp;H178*-1&amp;" días",IF(H178=0,"Vence hoy",IF(H178&lt;4,"Tiene "&amp;H178&amp;" días","Faltan "&amp;H178&amp;" días"))))</f>
        <v/>
      </c>
      <c r="H178" s="23">
        <f>F178-$B$2</f>
        <v/>
      </c>
      <c r="I178" s="84" t="n"/>
      <c r="J178" s="37" t="n"/>
      <c r="K178" s="38" t="n"/>
    </row>
    <row r="179">
      <c r="B179" s="4">
        <f t="array" ref="B179">IF(LEN(TRIM(C179))=0,"","Fact_"&amp;TEXT(SUMPRODUCT(--(LEN(TRIM($C$2:C177))&gt;0))-1,"000"))</f>
        <v/>
      </c>
      <c r="C179" s="2" t="n"/>
      <c r="D179" s="28" t="n">
        <v>45706</v>
      </c>
      <c r="E179" s="2" t="n"/>
      <c r="F179" s="21">
        <f>IF(Tabla1[[#This Row],[Días a vencer]]="","",D179+E179)</f>
        <v/>
      </c>
      <c r="G179" s="22">
        <f>IF(E179="","VACIO",IF(H179&lt;0,"Vencido hace "&amp;H179*-1&amp;" días",IF(H179=0,"Vence hoy",IF(H179&lt;4,"Tiene "&amp;H179&amp;" días","Faltan "&amp;H179&amp;" días"))))</f>
        <v/>
      </c>
      <c r="H179" s="23">
        <f>F179-$B$2</f>
        <v/>
      </c>
      <c r="I179" s="84" t="n"/>
      <c r="J179" s="37" t="n"/>
      <c r="K179" s="38" t="n"/>
    </row>
    <row r="180">
      <c r="B180" s="4">
        <f t="array" ref="B180">IF(LEN(TRIM(C180))=0,"","Fact_"&amp;TEXT(SUMPRODUCT(--(LEN(TRIM($C$2:C178))&gt;0))-1,"000"))</f>
        <v/>
      </c>
      <c r="C180" s="2" t="n"/>
      <c r="D180" s="28" t="n">
        <v>45107</v>
      </c>
      <c r="E180" s="2" t="n"/>
      <c r="F180" s="21">
        <f>IF(Tabla1[[#This Row],[Días a vencer]]="","",D180+E180)</f>
        <v/>
      </c>
      <c r="G180" s="22">
        <f>IF(E180="","VACIO",IF(H180&lt;0,"Vencido hace "&amp;H180*-1&amp;" días",IF(H180=0,"Vence hoy",IF(H180&lt;4,"Tiene "&amp;H180&amp;" días","Faltan "&amp;H180&amp;" días"))))</f>
        <v/>
      </c>
      <c r="H180" s="23">
        <f>F180-$B$2</f>
        <v/>
      </c>
      <c r="I180" s="84" t="n"/>
      <c r="J180" s="37" t="n"/>
      <c r="K180" s="48" t="n"/>
    </row>
    <row r="181">
      <c r="B181" s="4">
        <f t="array" ref="B181">IF(LEN(TRIM(C181))=0,"","Fact_"&amp;TEXT(SUMPRODUCT(--(LEN(TRIM($C$2:C179))&gt;0))-1,"000"))</f>
        <v/>
      </c>
      <c r="C181" s="2" t="inlineStr">
        <is>
          <t xml:space="preserve">Luna Gonzalez Alvarez </t>
        </is>
      </c>
      <c r="D181" s="28" t="n">
        <v>45552</v>
      </c>
      <c r="E181" s="2" t="n">
        <v>365</v>
      </c>
      <c r="F181" s="21">
        <f>IF(Tabla1[[#This Row],[Días a vencer]]="","",D181+E181)</f>
        <v/>
      </c>
      <c r="G181" s="22">
        <f>IF(E181="","VACIO",IF(H181&lt;0,"Vencido hace "&amp;H181*-1&amp;" días",IF(H181=0,"Vence hoy",IF(H181&lt;4,"Tiene "&amp;H181&amp;" días","Faltan "&amp;H181&amp;" días"))))</f>
        <v/>
      </c>
      <c r="H181" s="23">
        <f>F181-$B$2</f>
        <v/>
      </c>
      <c r="I181" s="66" t="inlineStr">
        <is>
          <t>Amazon Prime</t>
        </is>
      </c>
      <c r="J181" s="37" t="inlineStr">
        <is>
          <t>uiiiii10y.o.u@gmail.com:forgotpasswordAA1</t>
        </is>
      </c>
      <c r="K181" s="38" t="n"/>
    </row>
    <row r="182">
      <c r="B182" s="4">
        <f t="array" ref="B182">IF(LEN(TRIM(C182))=0,"","Fact_"&amp;TEXT(SUMPRODUCT(--(LEN(TRIM($C$2:C180))&gt;0))-1,"000"))</f>
        <v/>
      </c>
      <c r="C182" s="2" t="n"/>
      <c r="D182" s="28" t="n">
        <v>45250</v>
      </c>
      <c r="E182" s="2" t="n"/>
      <c r="F182" s="21">
        <f>IF(Tabla1[[#This Row],[Días a vencer]]="","",D182+E182)</f>
        <v/>
      </c>
      <c r="G182" s="22">
        <f>IF(E182="","VACIO",IF(H182&lt;0,"Vencido hace "&amp;H182*-1&amp;" días",IF(H182=0,"Vence hoy",IF(H182&lt;4,"Tiene "&amp;H182&amp;" días","Faltan "&amp;H182&amp;" días"))))</f>
        <v/>
      </c>
      <c r="H182" s="23">
        <f>F182-$B$2</f>
        <v/>
      </c>
      <c r="I182" s="84" t="n"/>
      <c r="J182" s="37" t="n"/>
      <c r="K182" s="38" t="n"/>
    </row>
    <row r="183">
      <c r="B183" s="4">
        <f t="array" ref="B183">IF(LEN(TRIM(C183))=0,"","Fact_"&amp;TEXT(SUMPRODUCT(--(LEN(TRIM($C$2:C181))&gt;0))-1,"000"))</f>
        <v/>
      </c>
      <c r="C183" s="6" t="n"/>
      <c r="D183" s="28" t="n">
        <v>45476</v>
      </c>
      <c r="E183" s="2" t="n"/>
      <c r="F183" s="21">
        <f>IF(Tabla1[[#This Row],[Días a vencer]]="","",D183+E183)</f>
        <v/>
      </c>
      <c r="G183" s="22">
        <f>IF(E183="","VACIO",IF(H183&lt;0,"Vencido hace "&amp;H183*-1&amp;" días",IF(H183=0,"Vence hoy",IF(H183&lt;4,"Tiene "&amp;H183&amp;" días","Faltan "&amp;H183&amp;" días"))))</f>
        <v/>
      </c>
      <c r="H183" s="23">
        <f>F183-$B$2</f>
        <v/>
      </c>
      <c r="I183" s="84" t="n"/>
      <c r="J183" s="37" t="n"/>
      <c r="K183" s="38" t="n"/>
    </row>
    <row r="184">
      <c r="B184" s="4">
        <f t="array" ref="B184">IF(LEN(TRIM(C184))=0,"","Fact_"&amp;TEXT(SUMPRODUCT(--(LEN(TRIM($C$2:C182))&gt;0))-1,"000"))</f>
        <v/>
      </c>
      <c r="C184" s="2" t="n"/>
      <c r="D184" s="28" t="n">
        <v>45364</v>
      </c>
      <c r="E184" s="2" t="n"/>
      <c r="F184" s="21">
        <f>IF(Tabla1[[#This Row],[Días a vencer]]="","",D184+E184)</f>
        <v/>
      </c>
      <c r="G184" s="22">
        <f>IF(E184="","VACIO",IF(H184&lt;0,"Vencido hace "&amp;H184*-1&amp;" días",IF(H184=0,"Vence hoy",IF(H184&lt;4,"Tiene "&amp;H184&amp;" días","Faltan "&amp;H184&amp;" días"))))</f>
        <v/>
      </c>
      <c r="H184" s="23">
        <f>F184-$B$2</f>
        <v/>
      </c>
      <c r="I184" s="84" t="n"/>
      <c r="J184" s="46" t="n"/>
      <c r="K184" s="38" t="n"/>
    </row>
    <row r="185">
      <c r="B185" s="4">
        <f t="array" ref="B185">IF(LEN(TRIM(C185))=0,"","Fact_"&amp;TEXT(SUMPRODUCT(--(LEN(TRIM($C$2:C183))&gt;0))-1,"000"))</f>
        <v/>
      </c>
      <c r="C185" s="2" t="n"/>
      <c r="D185" s="28" t="n">
        <v>45652</v>
      </c>
      <c r="E185" s="2" t="n"/>
      <c r="F185" s="21">
        <f>IF(Tabla1[[#This Row],[Días a vencer]]="","",D185+E185)</f>
        <v/>
      </c>
      <c r="G185" s="22">
        <f>IF(E185="","VACIO",IF(H185&lt;0,"Vencido hace "&amp;H185*-1&amp;" días",IF(H185=0,"Vence hoy",IF(H185&lt;4,"Tiene "&amp;H185&amp;" días","Faltan "&amp;H185&amp;" días"))))</f>
        <v/>
      </c>
      <c r="H185" s="23">
        <f>F185-$B$2</f>
        <v/>
      </c>
      <c r="I185" s="84" t="n"/>
      <c r="J185" s="37" t="n"/>
      <c r="K185" s="38" t="n"/>
    </row>
    <row r="186">
      <c r="B186" s="4">
        <f t="array" ref="B186">IF(LEN(TRIM(C186))=0,"","Fact_"&amp;TEXT(SUMPRODUCT(--(LEN(TRIM($C$2:C184))&gt;0))-1,"000"))</f>
        <v/>
      </c>
      <c r="C186" s="2" t="n"/>
      <c r="D186" s="28" t="n">
        <v>45192</v>
      </c>
      <c r="E186" s="2" t="n"/>
      <c r="F186" s="21">
        <f>IF(Tabla1[[#This Row],[Días a vencer]]="","",D186+E186)</f>
        <v/>
      </c>
      <c r="G186" s="22">
        <f>IF(E186="","VACIO",IF(H186&lt;0,"Vencido hace "&amp;H186*-1&amp;" días",IF(H186=0,"Vence hoy",IF(H186&lt;4,"Tiene "&amp;H186&amp;" días","Faltan "&amp;H186&amp;" días"))))</f>
        <v/>
      </c>
      <c r="H186" s="23">
        <f>F186-$B$2</f>
        <v/>
      </c>
      <c r="I186" s="84" t="n"/>
      <c r="J186" s="37" t="n"/>
      <c r="K186" s="38" t="n"/>
    </row>
    <row r="187">
      <c r="B187" s="4">
        <f t="array" ref="B187">IF(LEN(TRIM(C187))=0,"","Fact_"&amp;TEXT(SUMPRODUCT(--(LEN(TRIM($C$2:C185))&gt;0))-1,"000"))</f>
        <v/>
      </c>
      <c r="C187" s="2" t="n"/>
      <c r="D187" s="28" t="n">
        <v>45338</v>
      </c>
      <c r="E187" s="2" t="n"/>
      <c r="F187" s="21">
        <f>IF(Tabla1[[#This Row],[Días a vencer]]="","",D187+E187)</f>
        <v/>
      </c>
      <c r="G187" s="22">
        <f>IF(E187="","VACIO",IF(H187&lt;0,"Vencido hace "&amp;H187*-1&amp;" días",IF(H187=0,"Vence hoy",IF(H187&lt;4,"Tiene "&amp;H187&amp;" días","Faltan "&amp;H187&amp;" días"))))</f>
        <v/>
      </c>
      <c r="H187" s="23">
        <f>F187-$B$2</f>
        <v/>
      </c>
      <c r="I187" s="84" t="n"/>
      <c r="J187" s="37" t="n"/>
      <c r="K187" s="38" t="n"/>
    </row>
    <row r="188">
      <c r="B188" s="4">
        <f t="array" ref="B188">IF(LEN(TRIM(C188))=0,"","Fact_"&amp;TEXT(SUMPRODUCT(--(LEN(TRIM($C$2:C186))&gt;0))-1,"000"))</f>
        <v/>
      </c>
      <c r="C188" s="2" t="n"/>
      <c r="D188" s="28" t="n">
        <v>45323</v>
      </c>
      <c r="E188" s="2" t="n"/>
      <c r="F188" s="21">
        <f>IF(Tabla1[[#This Row],[Días a vencer]]="","",D188+E188)</f>
        <v/>
      </c>
      <c r="G188" s="22">
        <f>IF(E188="","VACIO",IF(H188&lt;0,"Vencido hace "&amp;H188*-1&amp;" días",IF(H188=0,"Vence hoy",IF(H188&lt;4,"Tiene "&amp;H188&amp;" días","Faltan "&amp;H188&amp;" días"))))</f>
        <v/>
      </c>
      <c r="H188" s="23">
        <f>F188-$B$2</f>
        <v/>
      </c>
      <c r="I188" s="84" t="n"/>
      <c r="J188" s="37" t="n"/>
      <c r="K188" s="38" t="n"/>
    </row>
    <row r="189">
      <c r="B189" s="4">
        <f t="array" ref="B189">IF(LEN(TRIM(C189))=0,"","Fact_"&amp;TEXT(SUMPRODUCT(--(LEN(TRIM($C$2:C187))&gt;0))-1,"000"))</f>
        <v/>
      </c>
      <c r="C189" s="2" t="n"/>
      <c r="D189" s="28" t="n">
        <v>45173</v>
      </c>
      <c r="E189" s="2" t="n"/>
      <c r="F189" s="21">
        <f>IF(Tabla1[[#This Row],[Días a vencer]]="","",D189+E189)</f>
        <v/>
      </c>
      <c r="G189" s="22">
        <f>IF(E189="","VACIO",IF(H189&lt;0,"Vencido hace "&amp;H189*-1&amp;" días",IF(H189=0,"Vence hoy",IF(H189&lt;4,"Tiene "&amp;H189&amp;" días","Faltan "&amp;H189&amp;" días"))))</f>
        <v/>
      </c>
      <c r="H189" s="23">
        <f>F189-$B$2</f>
        <v/>
      </c>
      <c r="I189" s="84" t="n"/>
      <c r="J189" s="37" t="n"/>
      <c r="K189" s="38" t="n"/>
    </row>
    <row r="190">
      <c r="B190" s="4">
        <f t="array" ref="B190">IF(LEN(TRIM(C190))=0,"","Fact_"&amp;TEXT(SUMPRODUCT(--(LEN(TRIM($C$2:C188))&gt;0))-1,"000"))</f>
        <v/>
      </c>
      <c r="C190" s="2" t="n"/>
      <c r="D190" s="28" t="n">
        <v>45349</v>
      </c>
      <c r="E190" s="2" t="n"/>
      <c r="F190" s="21">
        <f>IF(Tabla1[[#This Row],[Días a vencer]]="","",D190+E190)</f>
        <v/>
      </c>
      <c r="G190" s="22">
        <f>IF(E190="","VACIO",IF(H190&lt;0,"Vencido hace "&amp;H190*-1&amp;" días",IF(H190=0,"Vence hoy",IF(H190&lt;4,"Tiene "&amp;H190&amp;" días","Faltan "&amp;H190&amp;" días"))))</f>
        <v/>
      </c>
      <c r="H190" s="23">
        <f>F190-$B$2</f>
        <v/>
      </c>
      <c r="I190" s="84" t="n"/>
      <c r="J190" s="37" t="n"/>
      <c r="K190" s="38" t="n"/>
    </row>
    <row r="191">
      <c r="B191" s="4">
        <f t="array" ref="B191">IF(LEN(TRIM(C191))=0,"","Fact_"&amp;TEXT(SUMPRODUCT(--(LEN(TRIM($C$2:C189))&gt;0))-1,"000"))</f>
        <v/>
      </c>
      <c r="C191" s="2" t="n"/>
      <c r="D191" s="28" t="n">
        <v>45324</v>
      </c>
      <c r="E191" s="2" t="n"/>
      <c r="F191" s="21">
        <f>IF(Tabla1[[#This Row],[Días a vencer]]="","",D191+E191)</f>
        <v/>
      </c>
      <c r="G191" s="22">
        <f>IF(E191="","VACIO",IF(H191&lt;0,"Vencido hace "&amp;H191*-1&amp;" días",IF(H191=0,"Vence hoy",IF(H191&lt;4,"Tiene "&amp;H191&amp;" días","Faltan "&amp;H191&amp;" días"))))</f>
        <v/>
      </c>
      <c r="H191" s="23">
        <f>F191-$B$2</f>
        <v/>
      </c>
      <c r="I191" s="84" t="n"/>
      <c r="J191" s="37" t="n"/>
      <c r="K191" s="38" t="n"/>
    </row>
    <row r="192">
      <c r="B192" s="4">
        <f t="array" ref="B192">IF(LEN(TRIM(C192))=0,"","Fact_"&amp;TEXT(SUMPRODUCT(--(LEN(TRIM($C$2:C190))&gt;0))-1,"000"))</f>
        <v/>
      </c>
      <c r="C192" s="2" t="n"/>
      <c r="D192" s="28" t="n">
        <v>45321</v>
      </c>
      <c r="E192" s="2" t="n"/>
      <c r="F192" s="21">
        <f>IF(Tabla1[[#This Row],[Días a vencer]]="","",D192+E192)</f>
        <v/>
      </c>
      <c r="G192" s="22">
        <f>IF(E192="","VACIO",IF(H192&lt;0,"Vencido hace "&amp;H192*-1&amp;" días",IF(H192=0,"Vence hoy",IF(H192&lt;4,"Tiene "&amp;H192&amp;" días","Faltan "&amp;H192&amp;" días"))))</f>
        <v/>
      </c>
      <c r="H192" s="23">
        <f>F192-$B$2</f>
        <v/>
      </c>
      <c r="I192" s="84" t="n"/>
      <c r="J192" s="37" t="n"/>
      <c r="K192" s="38" t="n"/>
    </row>
    <row r="193">
      <c r="B193" s="4">
        <f t="array" ref="B193">IF(LEN(TRIM(C193))=0,"","Fact_"&amp;TEXT(SUMPRODUCT(--(LEN(TRIM($C$2:C191))&gt;0))-1,"000"))</f>
        <v/>
      </c>
      <c r="C193" s="2" t="n"/>
      <c r="D193" s="28" t="n">
        <v>44931</v>
      </c>
      <c r="E193" s="2" t="n"/>
      <c r="F193" s="21">
        <f>IF(Tabla1[[#This Row],[Días a vencer]]="","",D193+E193)</f>
        <v/>
      </c>
      <c r="G193" s="22">
        <f>IF(E193="","VACIO",IF(H193&lt;0,"Vencido hace "&amp;H193*-1&amp;" días",IF(H193=0,"Vence hoy",IF(H193&lt;4,"Tiene "&amp;H193&amp;" días","Faltan "&amp;H193&amp;" días"))))</f>
        <v/>
      </c>
      <c r="H193" s="23">
        <f>F193-$B$2</f>
        <v/>
      </c>
      <c r="I193" s="84" t="n"/>
      <c r="J193" s="46" t="n"/>
      <c r="K193" s="38" t="n"/>
    </row>
    <row r="194">
      <c r="B194" s="4">
        <f t="array" ref="B194">IF(LEN(TRIM(C194))=0,"","Fact_"&amp;TEXT(SUMPRODUCT(--(LEN(TRIM($C$2:C192))&gt;0))-1,"000"))</f>
        <v/>
      </c>
      <c r="C194" s="2" t="n"/>
      <c r="D194" s="28" t="n">
        <v>45565</v>
      </c>
      <c r="E194" s="2" t="n"/>
      <c r="F194" s="21">
        <f>IF(Tabla1[[#This Row],[Días a vencer]]="","",D194+E194)</f>
        <v/>
      </c>
      <c r="G194" s="22">
        <f>IF(E194="","VACIO",IF(H194&lt;0,"Vencido hace "&amp;H194*-1&amp;" días",IF(H194=0,"Vence hoy",IF(H194&lt;4,"Tiene "&amp;H194&amp;" días","Faltan "&amp;H194&amp;" días"))))</f>
        <v/>
      </c>
      <c r="H194" s="23">
        <f>F194-$B$2</f>
        <v/>
      </c>
      <c r="I194" s="84" t="n"/>
      <c r="J194" s="37" t="n"/>
      <c r="K194" s="38" t="n"/>
    </row>
    <row r="195">
      <c r="B195" s="4">
        <f t="array" ref="B195">IF(LEN(TRIM(C195))=0,"","Fact_"&amp;TEXT(SUMPRODUCT(--(LEN(TRIM($C$2:C193))&gt;0))-1,"000"))</f>
        <v/>
      </c>
      <c r="C195" s="2" t="n"/>
      <c r="D195" s="28" t="n">
        <v>45589</v>
      </c>
      <c r="E195" s="2" t="n"/>
      <c r="F195" s="21">
        <f>IF(Tabla1[[#This Row],[Días a vencer]]="","",D195+E195)</f>
        <v/>
      </c>
      <c r="G195" s="22">
        <f>IF(E195="","VACIO",IF(H195&lt;0,"Vencido hace "&amp;H195*-1&amp;" días",IF(H195=0,"Vence hoy",IF(H195&lt;4,"Tiene "&amp;H195&amp;" días","Faltan "&amp;H195&amp;" días"))))</f>
        <v/>
      </c>
      <c r="H195" s="23">
        <f>F195-$B$2</f>
        <v/>
      </c>
      <c r="I195" s="84" t="n"/>
      <c r="J195" s="37" t="n"/>
      <c r="K195" s="38" t="n"/>
    </row>
    <row r="196">
      <c r="B196" s="4">
        <f t="array" ref="B196">IF(LEN(TRIM(C196))=0,"","Fact_"&amp;TEXT(SUMPRODUCT(--(LEN(TRIM($C$2:C194))&gt;0))-1,"000"))</f>
        <v/>
      </c>
      <c r="C196" s="2" t="n"/>
      <c r="D196" s="28" t="n">
        <v>45323</v>
      </c>
      <c r="E196" s="2" t="n"/>
      <c r="F196" s="21">
        <f>IF(Tabla1[[#This Row],[Días a vencer]]="","",D196+E196)</f>
        <v/>
      </c>
      <c r="G196" s="22">
        <f>IF(E196="","VACIO",IF(H196&lt;0,"Vencido hace "&amp;H196*-1&amp;" días",IF(H196=0,"Vence hoy",IF(H196&lt;4,"Tiene "&amp;H196&amp;" días","Faltan "&amp;H196&amp;" días"))))</f>
        <v/>
      </c>
      <c r="H196" s="23">
        <f>F196-$B$2</f>
        <v/>
      </c>
      <c r="I196" s="84" t="n"/>
      <c r="J196" s="37" t="n"/>
      <c r="K196" s="38" t="n"/>
    </row>
    <row r="197">
      <c r="B197" s="4">
        <f t="array" ref="B197">IF(LEN(TRIM(C197))=0,"","Fact_"&amp;TEXT(SUMPRODUCT(--(LEN(TRIM($C$2:C195))&gt;0))-1,"000"))</f>
        <v/>
      </c>
      <c r="C197" s="2" t="n"/>
      <c r="D197" s="28" t="n">
        <v>45283</v>
      </c>
      <c r="E197" s="2" t="n"/>
      <c r="F197" s="21">
        <f>IF(Tabla1[[#This Row],[Días a vencer]]="","",D197+E197)</f>
        <v/>
      </c>
      <c r="G197" s="22">
        <f>IF(E197="","VACIO",IF(H197&lt;0,"Vencido hace "&amp;H197*-1&amp;" días",IF(H197=0,"Vence hoy",IF(H197&lt;4,"Tiene "&amp;H197&amp;" días","Faltan "&amp;H197&amp;" días"))))</f>
        <v/>
      </c>
      <c r="H197" s="23">
        <f>F197-$B$2</f>
        <v/>
      </c>
      <c r="I197" s="84" t="n"/>
      <c r="J197" s="37" t="n"/>
      <c r="K197" s="38" t="n"/>
    </row>
    <row r="198">
      <c r="B198" s="4">
        <f t="array" ref="B198">IF(LEN(TRIM(C198))=0,"","Fact_"&amp;TEXT(SUMPRODUCT(--(LEN(TRIM($C$2:C196))&gt;0))-1,"000"))</f>
        <v/>
      </c>
      <c r="C198" s="6" t="n"/>
      <c r="D198" s="28" t="n">
        <v>45484</v>
      </c>
      <c r="E198" s="2" t="n"/>
      <c r="F198" s="21">
        <f>IF(Tabla1[[#This Row],[Días a vencer]]="","",D198+E198)</f>
        <v/>
      </c>
      <c r="G198" s="22">
        <f>IF(E198="","VACIO",IF(H198&lt;0,"Vencido hace "&amp;H198*-1&amp;" días",IF(H198=0,"Vence hoy",IF(H198&lt;4,"Tiene "&amp;H198&amp;" días","Faltan "&amp;H198&amp;" días"))))</f>
        <v/>
      </c>
      <c r="H198" s="23">
        <f>F198-$B$2</f>
        <v/>
      </c>
      <c r="I198" s="84" t="n"/>
      <c r="J198" s="37" t="n"/>
      <c r="K198" s="38" t="n"/>
    </row>
    <row r="199">
      <c r="B199" s="4">
        <f t="array" ref="B199">IF(LEN(TRIM(C199))=0,"","Fact_"&amp;TEXT(SUMPRODUCT(--(LEN(TRIM($C$2:C197))&gt;0))-1,"000"))</f>
        <v/>
      </c>
      <c r="C199" s="6" t="n"/>
      <c r="D199" s="28" t="n">
        <v>45484</v>
      </c>
      <c r="E199" s="2" t="n"/>
      <c r="F199" s="21">
        <f>IF(Tabla1[[#This Row],[Días a vencer]]="","",D199+E199)</f>
        <v/>
      </c>
      <c r="G199" s="22">
        <f>IF(E199="","VACIO",IF(H199&lt;0,"Vencido hace "&amp;H199*-1&amp;" días",IF(H199=0,"Vence hoy",IF(H199&lt;4,"Tiene "&amp;H199&amp;" días","Faltan "&amp;H199&amp;" días"))))</f>
        <v/>
      </c>
      <c r="H199" s="23">
        <f>F199-$B$2</f>
        <v/>
      </c>
      <c r="I199" s="84" t="n"/>
      <c r="J199" s="37" t="n"/>
      <c r="K199" s="38" t="n"/>
    </row>
    <row r="200">
      <c r="B200" s="4">
        <f t="array" ref="B200">IF(LEN(TRIM(C200))=0,"","Fact_"&amp;TEXT(SUMPRODUCT(--(LEN(TRIM($C$2:C198))&gt;0))-1,"000"))</f>
        <v/>
      </c>
      <c r="C200" s="6" t="n"/>
      <c r="D200" s="28" t="n">
        <v>45484</v>
      </c>
      <c r="E200" s="2" t="n"/>
      <c r="F200" s="21">
        <f>IF(Tabla1[[#This Row],[Días a vencer]]="","",D200+E200)</f>
        <v/>
      </c>
      <c r="G200" s="22">
        <f>IF(E200="","VACIO",IF(H200&lt;0,"Vencido hace "&amp;H200*-1&amp;" días",IF(H200=0,"Vence hoy",IF(H200&lt;4,"Tiene "&amp;H200&amp;" días","Faltan "&amp;H200&amp;" días"))))</f>
        <v/>
      </c>
      <c r="H200" s="23">
        <f>F200-$B$2</f>
        <v/>
      </c>
      <c r="I200" s="84" t="n"/>
      <c r="K200" s="38" t="n"/>
    </row>
    <row r="201">
      <c r="B201" s="4">
        <f t="array" ref="B201">IF(LEN(TRIM(C201))=0,"","Fact_"&amp;TEXT(SUMPRODUCT(--(LEN(TRIM($C$2:C199))&gt;0))-1,"000"))</f>
        <v/>
      </c>
      <c r="C201" s="6" t="n"/>
      <c r="D201" s="28" t="n">
        <v>45484</v>
      </c>
      <c r="E201" s="2" t="n"/>
      <c r="F201" s="21">
        <f>IF(Tabla1[[#This Row],[Días a vencer]]="","",D201+E201)</f>
        <v/>
      </c>
      <c r="G201" s="22">
        <f>IF(E201="","VACIO",IF(H201&lt;0,"Vencido hace "&amp;H201*-1&amp;" días",IF(H201=0,"Vence hoy",IF(H201&lt;4,"Tiene "&amp;H201&amp;" días","Faltan "&amp;H201&amp;" días"))))</f>
        <v/>
      </c>
      <c r="H201" s="23">
        <f>F201-$B$2</f>
        <v/>
      </c>
      <c r="I201" s="84" t="n"/>
      <c r="J201" s="37" t="n"/>
      <c r="K201" s="38" t="n"/>
    </row>
    <row r="202">
      <c r="B202" s="4">
        <f t="array" ref="B202">IF(LEN(TRIM(C202))=0,"","Fact_"&amp;TEXT(SUMPRODUCT(--(LEN(TRIM($C$2:C200))&gt;0))-1,"000"))</f>
        <v/>
      </c>
      <c r="C202" s="6" t="n"/>
      <c r="D202" s="28" t="n">
        <v>45484</v>
      </c>
      <c r="E202" s="2" t="n"/>
      <c r="F202" s="21">
        <f>IF(Tabla1[[#This Row],[Días a vencer]]="","",D202+E202)</f>
        <v/>
      </c>
      <c r="G202" s="22">
        <f>IF(E202="","VACIO",IF(H202&lt;0,"Vencido hace "&amp;H202*-1&amp;" días",IF(H202=0,"Vence hoy",IF(H202&lt;4,"Tiene "&amp;H202&amp;" días","Faltan "&amp;H202&amp;" días"))))</f>
        <v/>
      </c>
      <c r="H202" s="23">
        <f>F202-$B$2</f>
        <v/>
      </c>
      <c r="I202" s="84" t="n"/>
      <c r="K202" s="38" t="n"/>
    </row>
    <row r="203">
      <c r="B203" s="4">
        <f t="array" ref="B203">IF(LEN(TRIM(C203))=0,"","Fact_"&amp;TEXT(SUMPRODUCT(--(LEN(TRIM($C$2:C201))&gt;0))-1,"000"))</f>
        <v/>
      </c>
      <c r="C203" s="2" t="n"/>
      <c r="D203" s="28" t="n">
        <v>45034</v>
      </c>
      <c r="E203" s="2" t="n"/>
      <c r="F203" s="21">
        <f>IF(Tabla1[[#This Row],[Días a vencer]]="","",D203+E203)</f>
        <v/>
      </c>
      <c r="G203" s="22">
        <f>IF(E203="","VACIO",IF(H203&lt;0,"Vencido hace "&amp;H203*-1&amp;" días",IF(H203=0,"Vence hoy",IF(H203&lt;4,"Tiene "&amp;H203&amp;" días","Faltan "&amp;H203&amp;" días"))))</f>
        <v/>
      </c>
      <c r="H203" s="23">
        <f>F203-$B$2</f>
        <v/>
      </c>
      <c r="I203" s="84" t="n"/>
      <c r="J203" s="37" t="n"/>
      <c r="K203" s="38" t="n"/>
    </row>
    <row r="204">
      <c r="B204" s="4">
        <f t="array" ref="B204">IF(LEN(TRIM(C204))=0,"","Fact_"&amp;TEXT(SUMPRODUCT(--(LEN(TRIM($C$2:C202))&gt;0))-1,"000"))</f>
        <v/>
      </c>
      <c r="C204" s="6" t="n"/>
      <c r="D204" s="29" t="n">
        <v>45406</v>
      </c>
      <c r="E204" s="6" t="n"/>
      <c r="F204" s="21">
        <f>IF(Tabla1[[#This Row],[Días a vencer]]="","",D204+E204)</f>
        <v/>
      </c>
      <c r="G204" s="22">
        <f>IF(E204="","VACIO",IF(H204&lt;0,"Vencido hace "&amp;H204*-1&amp;" días",IF(H204=0,"Vence hoy",IF(H204&lt;4,"Tiene "&amp;H204&amp;" días","Faltan "&amp;H204&amp;" días"))))</f>
        <v/>
      </c>
      <c r="H204" s="23">
        <f>F204-$B$2</f>
        <v/>
      </c>
      <c r="I204" s="84" t="n"/>
      <c r="J204" s="37" t="n"/>
      <c r="K204" s="38" t="n"/>
    </row>
    <row r="205">
      <c r="B205" s="4">
        <f t="array" ref="B205">IF(LEN(TRIM(C205))=0,"","Fact_"&amp;TEXT(SUMPRODUCT(--(LEN(TRIM($C$2:C203))&gt;0))-1,"000"))</f>
        <v/>
      </c>
      <c r="C205" s="27" t="n"/>
      <c r="D205" s="33" t="n"/>
      <c r="E205" s="27" t="n"/>
      <c r="F205" s="21">
        <f>IF(Tabla1[[#This Row],[Días a vencer]]="","",D205+E205)</f>
        <v/>
      </c>
      <c r="G205" s="22">
        <f>IF(E205="","VACIO",IF(H205&lt;0,"Vencido hace "&amp;H205*-1&amp;" días",IF(H205=0,"Vence hoy",IF(H205&lt;4,"Tiene "&amp;H205&amp;" días","Faltan "&amp;H205&amp;" días"))))</f>
        <v/>
      </c>
      <c r="H205" s="23">
        <f>F205-$B$2</f>
        <v/>
      </c>
      <c r="I205" s="55" t="n"/>
      <c r="J205" s="56" t="n"/>
      <c r="K205" s="27" t="n"/>
    </row>
    <row r="206">
      <c r="B206" s="4">
        <f t="array" ref="B206">IF(LEN(TRIM(C206))=0,"","Fact_"&amp;TEXT(SUMPRODUCT(--(LEN(TRIM($C$2:C204))&gt;0))-1,"000"))</f>
        <v/>
      </c>
      <c r="C206" s="2" t="n"/>
      <c r="D206" s="28" t="n">
        <v>45364</v>
      </c>
      <c r="E206" s="2" t="n"/>
      <c r="F206" s="21">
        <f>IF(Tabla1[[#This Row],[Días a vencer]]="","",D206+E206)</f>
        <v/>
      </c>
      <c r="G206" s="22">
        <f>IF(E206="","VACIO",IF(H206&lt;0,"Vencido hace "&amp;H206*-1&amp;" días",IF(H206=0,"Vence hoy",IF(H206&lt;4,"Tiene "&amp;H206&amp;" días","Faltan "&amp;H206&amp;" días"))))</f>
        <v/>
      </c>
      <c r="H206" s="23">
        <f>F206-$B$2</f>
        <v/>
      </c>
      <c r="I206" s="84" t="n"/>
      <c r="J206" s="37" t="n"/>
      <c r="K206" s="38" t="n"/>
    </row>
    <row r="207">
      <c r="B207" s="4">
        <f t="array" ref="B207">IF(LEN(TRIM(C207))=0,"","Fact_"&amp;TEXT(SUMPRODUCT(--(LEN(TRIM($C$2:C205))&gt;0))-1,"000"))</f>
        <v/>
      </c>
      <c r="C207" s="2" t="inlineStr">
        <is>
          <t xml:space="preserve">Luna Gonzalez Alvarez </t>
        </is>
      </c>
      <c r="D207" s="28" t="n">
        <v>45789</v>
      </c>
      <c r="E207" s="2" t="n">
        <v>365</v>
      </c>
      <c r="F207" s="21">
        <f>IF(Tabla1[[#This Row],[Días a vencer]]="","",D207+E207)</f>
        <v/>
      </c>
      <c r="G207" s="22">
        <f>IF(E207="","VACIO",IF(H207&lt;0,"Vencido hace "&amp;H207*-1&amp;" días",IF(H207=0,"Vence hoy",IF(H207&lt;4,"Tiene "&amp;H207&amp;" días","Faltan "&amp;H207&amp;" días"))))</f>
        <v/>
      </c>
      <c r="H207" s="23">
        <f>F207-$B$2</f>
        <v/>
      </c>
      <c r="I207" s="49" t="inlineStr">
        <is>
          <t>disney y star</t>
        </is>
      </c>
      <c r="J207" s="37" t="inlineStr">
        <is>
          <t>juanperee.z.4.6.8@gmail.com:Juanperez68</t>
        </is>
      </c>
      <c r="K207" s="38" t="n"/>
    </row>
    <row r="208">
      <c r="B208" s="4">
        <f t="array" ref="B208">IF(LEN(TRIM(C208))=0,"","Fact_"&amp;TEXT(SUMPRODUCT(--(LEN(TRIM($C$2:C206))&gt;0))-1,"000"))</f>
        <v/>
      </c>
      <c r="C208" s="2" t="n"/>
      <c r="D208" s="28" t="n">
        <v>45375</v>
      </c>
      <c r="E208" s="2" t="n"/>
      <c r="F208" s="21">
        <f>IF(Tabla1[[#This Row],[Días a vencer]]="","",D208+E208)</f>
        <v/>
      </c>
      <c r="G208" s="22">
        <f>IF(E208="","VACIO",IF(H208&lt;0,"Vencido hace "&amp;H208*-1&amp;" días",IF(H208=0,"Vence hoy",IF(H208&lt;4,"Tiene "&amp;H208&amp;" días","Faltan "&amp;H208&amp;" días"))))</f>
        <v/>
      </c>
      <c r="H208" s="23">
        <f>F208-$B$2</f>
        <v/>
      </c>
      <c r="I208" s="84" t="n"/>
      <c r="J208" s="62" t="n"/>
      <c r="K208" s="38" t="n"/>
    </row>
    <row r="209">
      <c r="B209" s="4">
        <f t="array" ref="B209">IF(LEN(TRIM(C209))=0,"","Fact_"&amp;TEXT(SUMPRODUCT(--(LEN(TRIM($C$2:C207))&gt;0))-1,"000"))</f>
        <v/>
      </c>
      <c r="C209" s="6" t="n"/>
      <c r="D209" s="28" t="n">
        <v>45587</v>
      </c>
      <c r="E209" s="2" t="n"/>
      <c r="F209" s="21">
        <f>IF(Tabla1[[#This Row],[Días a vencer]]="","",D209+E209)</f>
        <v/>
      </c>
      <c r="G209" s="22">
        <f>IF(E209="","VACIO",IF(H209&lt;0,"Vencido hace "&amp;H209*-1&amp;" días",IF(H209=0,"Vence hoy",IF(H209&lt;4,"Tiene "&amp;H209&amp;" días","Faltan "&amp;H209&amp;" días"))))</f>
        <v/>
      </c>
      <c r="H209" s="23">
        <f>F209-$B$2</f>
        <v/>
      </c>
      <c r="I209" s="84" t="n"/>
      <c r="J209" s="37" t="n"/>
      <c r="K209" s="38" t="n"/>
    </row>
    <row r="210">
      <c r="B210" s="4">
        <f t="array" ref="B210">IF(LEN(TRIM(C210))=0,"","Fact_"&amp;TEXT(SUMPRODUCT(--(LEN(TRIM($C$2:C208))&gt;0))-1,"000"))</f>
        <v/>
      </c>
      <c r="C210" s="2" t="n"/>
      <c r="D210" s="28" t="n">
        <v>45142</v>
      </c>
      <c r="E210" s="2" t="n"/>
      <c r="F210" s="21">
        <f>IF(Tabla1[[#This Row],[Días a vencer]]="","",D210+E210)</f>
        <v/>
      </c>
      <c r="G210" s="22">
        <f>IF(E210="","VACIO",IF(H210&lt;0,"Vencido hace "&amp;H210*-1&amp;" días",IF(H210=0,"Vence hoy",IF(H210&lt;4,"Tiene "&amp;H210&amp;" días","Faltan "&amp;H210&amp;" días"))))</f>
        <v/>
      </c>
      <c r="H210" s="23">
        <f>F210-$B$2</f>
        <v/>
      </c>
      <c r="I210" s="84" t="n"/>
      <c r="J210" s="37" t="n"/>
      <c r="K210" s="38" t="n"/>
    </row>
    <row r="211">
      <c r="B211" s="4">
        <f t="array" ref="B211">IF(LEN(TRIM(C211))=0,"","Fact_"&amp;TEXT(SUMPRODUCT(--(LEN(TRIM($C$2:C209))&gt;0))-1,"000"))</f>
        <v/>
      </c>
      <c r="C211" s="2" t="inlineStr">
        <is>
          <t>VENDER</t>
        </is>
      </c>
      <c r="D211" s="28" t="n">
        <v>45307</v>
      </c>
      <c r="E211" s="6" t="n"/>
      <c r="F211" s="21">
        <f>IF(Tabla1[[#This Row],[Días a vencer]]="","",D211+E211)</f>
        <v/>
      </c>
      <c r="G211" s="22">
        <f>IF(E211="","VACIO",IF(H211&lt;0,"Vencido hace "&amp;H211*-1&amp;" días",IF(H211=0,"Vence hoy",IF(H211&lt;4,"Tiene "&amp;H211&amp;" días","Faltan "&amp;H211&amp;" días"))))</f>
        <v/>
      </c>
      <c r="H211" s="23">
        <f>F211-$B$2</f>
        <v/>
      </c>
      <c r="I211" s="42" t="inlineStr">
        <is>
          <t xml:space="preserve">Spotify </t>
        </is>
      </c>
      <c r="J211" s="44" t="inlineStr">
        <is>
          <t>jua.npe.re.e.z.4.6.8@gmail.com:change-password/</t>
        </is>
      </c>
      <c r="K211" s="38" t="n"/>
    </row>
    <row r="212">
      <c r="B212" s="4">
        <f t="array" ref="B212">IF(LEN(TRIM(C212))=0,"","Fact_"&amp;TEXT(SUMPRODUCT(--(LEN(TRIM($C$2:C210))&gt;0))-1,"000"))</f>
        <v/>
      </c>
      <c r="C212" s="2" t="inlineStr">
        <is>
          <t>Ismael Medel</t>
        </is>
      </c>
      <c r="D212" s="29" t="n">
        <v>45765</v>
      </c>
      <c r="E212" s="2" t="n">
        <v>365</v>
      </c>
      <c r="F212" s="21">
        <f>IF(Tabla1[[#This Row],[Días a vencer]]="","",D212+E212)</f>
        <v/>
      </c>
      <c r="G212" s="22">
        <f>IF(E212="","VACIO",IF(H212&lt;0,"Vencido hace "&amp;H212*-1&amp;" días",IF(H212=0,"Vence hoy",IF(H212&lt;4,"Tiene "&amp;H212&amp;" días","Faltan "&amp;H212&amp;" días"))))</f>
        <v/>
      </c>
      <c r="H212" s="23">
        <f>F212-$B$2</f>
        <v/>
      </c>
      <c r="I212" s="42" t="inlineStr">
        <is>
          <t xml:space="preserve">Spotify </t>
        </is>
      </c>
      <c r="J212" s="37" t="inlineStr">
        <is>
          <t>jon.as1.010.11.21n@gmail.com:password-reset@@</t>
        </is>
      </c>
      <c r="K212" s="48" t="n"/>
    </row>
    <row r="213">
      <c r="B213" s="4">
        <f t="array" ref="B213">IF(LEN(TRIM(C213))=0,"","Fact_"&amp;TEXT(SUMPRODUCT(--(LEN(TRIM($C$2:C211))&gt;0))-1,"000"))</f>
        <v/>
      </c>
      <c r="C213" s="2" t="n"/>
      <c r="D213" s="28" t="n">
        <v>44958</v>
      </c>
      <c r="E213" s="2" t="n"/>
      <c r="F213" s="21">
        <f>IF(Tabla1[[#This Row],[Días a vencer]]="","",D213+E213)</f>
        <v/>
      </c>
      <c r="G213" s="22">
        <f>IF(E213="","VACIO",IF(H213&lt;0,"Vencido hace "&amp;H213*-1&amp;" días",IF(H213=0,"Vence hoy",IF(H213&lt;4,"Tiene "&amp;H213&amp;" días","Faltan "&amp;H213&amp;" días"))))</f>
        <v/>
      </c>
      <c r="H213" s="23">
        <f>F213-$B$2</f>
        <v/>
      </c>
      <c r="I213" s="84" t="n"/>
      <c r="J213" s="37" t="n"/>
      <c r="K213" s="38" t="n"/>
    </row>
    <row r="214">
      <c r="B214" s="4">
        <f t="array" ref="B214">IF(LEN(TRIM(C214))=0,"","Fact_"&amp;TEXT(SUMPRODUCT(--(LEN(TRIM($C$2:C212))&gt;0))-1,"000"))</f>
        <v/>
      </c>
      <c r="C214" s="2" t="n"/>
      <c r="D214" s="28" t="n">
        <v>45664</v>
      </c>
      <c r="E214" s="2" t="n"/>
      <c r="F214" s="21">
        <f>IF(Tabla1[[#This Row],[Días a vencer]]="","",D214+E214)</f>
        <v/>
      </c>
      <c r="G214" s="22">
        <f>IF(E214="","VACIO",IF(H214&lt;0,"Vencido hace "&amp;H214*-1&amp;" días",IF(H214=0,"Vence hoy",IF(H214&lt;4,"Tiene "&amp;H214&amp;" días","Faltan "&amp;H214&amp;" días"))))</f>
        <v/>
      </c>
      <c r="H214" s="23">
        <f>F214-$B$2</f>
        <v/>
      </c>
      <c r="I214" s="84" t="n"/>
      <c r="J214" s="37" t="n"/>
      <c r="K214" s="38" t="n"/>
    </row>
    <row r="215">
      <c r="B215" s="4">
        <f t="array" ref="B215">IF(LEN(TRIM(C215))=0,"","Fact_"&amp;TEXT(SUMPRODUCT(--(LEN(TRIM($C$2:C213))&gt;0))-1,"000"))</f>
        <v/>
      </c>
      <c r="C215" s="2" t="n"/>
      <c r="D215" s="28" t="n">
        <v>45664</v>
      </c>
      <c r="E215" s="2" t="n"/>
      <c r="F215" s="21">
        <f>IF(Tabla1[[#This Row],[Días a vencer]]="","",D215+E215)</f>
        <v/>
      </c>
      <c r="G215" s="22">
        <f>IF(E215="","VACIO",IF(H215&lt;0,"Vencido hace "&amp;H215*-1&amp;" días",IF(H215=0,"Vence hoy",IF(H215&lt;4,"Tiene "&amp;H215&amp;" días","Faltan "&amp;H215&amp;" días"))))</f>
        <v/>
      </c>
      <c r="H215" s="23">
        <f>F215-$B$2</f>
        <v/>
      </c>
      <c r="I215" s="84" t="n"/>
      <c r="J215" s="37" t="n"/>
      <c r="K215" s="38" t="n"/>
    </row>
    <row r="216">
      <c r="B216" s="4">
        <f t="array" ref="B216">IF(LEN(TRIM(C216))=0,"","Fact_"&amp;TEXT(SUMPRODUCT(--(LEN(TRIM($C$2:C214))&gt;0))-1,"000"))</f>
        <v/>
      </c>
      <c r="C216" s="2" t="n"/>
      <c r="D216" s="28" t="n">
        <v>45664</v>
      </c>
      <c r="E216" s="2" t="n"/>
      <c r="F216" s="21">
        <f>IF(Tabla1[[#This Row],[Días a vencer]]="","",D216+E216)</f>
        <v/>
      </c>
      <c r="G216" s="22">
        <f>IF(E216="","VACIO",IF(H216&lt;0,"Vencido hace "&amp;H216*-1&amp;" días",IF(H216=0,"Vence hoy",IF(H216&lt;4,"Tiene "&amp;H216&amp;" días","Faltan "&amp;H216&amp;" días"))))</f>
        <v/>
      </c>
      <c r="H216" s="23">
        <f>F216-$B$2</f>
        <v/>
      </c>
      <c r="I216" s="84" t="n"/>
      <c r="J216" s="37" t="n"/>
      <c r="K216" s="38" t="n"/>
    </row>
    <row r="217">
      <c r="B217" s="4">
        <f t="array" ref="B217">IF(LEN(TRIM(C217))=0,"","Fact_"&amp;TEXT(SUMPRODUCT(--(LEN(TRIM($C$2:C215))&gt;0))-1,"000"))</f>
        <v/>
      </c>
      <c r="C217" s="2" t="inlineStr">
        <is>
          <t xml:space="preserve">Luna Gonzalez Alvarez </t>
        </is>
      </c>
      <c r="D217" s="29" t="n">
        <v>45706</v>
      </c>
      <c r="E217" s="2" t="n">
        <v>365</v>
      </c>
      <c r="F217" s="21">
        <f>IF(Tabla1[[#This Row],[Días a vencer]]="","",D217+E217)</f>
        <v/>
      </c>
      <c r="G217" s="22">
        <f>IF(E217="","VACIO",IF(H217&lt;0,"Vencido hace "&amp;H217*-1&amp;" días",IF(H217=0,"Vence hoy",IF(H217&lt;4,"Tiene "&amp;H217&amp;" días","Faltan "&amp;H217&amp;" días"))))</f>
        <v/>
      </c>
      <c r="H217" s="23">
        <f>F217-$B$2</f>
        <v/>
      </c>
      <c r="I217" s="42" t="inlineStr">
        <is>
          <t xml:space="preserve">Spotify </t>
        </is>
      </c>
      <c r="J217" s="44" t="inlineStr">
        <is>
          <t>k.ok.u339.3.93a@gmail.com:k.ok.u339.3.93a@gmail.com</t>
        </is>
      </c>
      <c r="K217" s="38" t="n"/>
    </row>
    <row r="218">
      <c r="B218" s="4">
        <f t="array" ref="B218">IF(LEN(TRIM(C218))=0,"","Fact_"&amp;TEXT(SUMPRODUCT(--(LEN(TRIM($C$2:C216))&gt;0))-1,"000"))</f>
        <v/>
      </c>
      <c r="C218" s="6" t="n"/>
      <c r="D218" s="29" t="n">
        <v>45233</v>
      </c>
      <c r="E218" s="6" t="n"/>
      <c r="F218" s="21">
        <f>IF(Tabla1[[#This Row],[Días a vencer]]="","",D218+E218)</f>
        <v/>
      </c>
      <c r="G218" s="22">
        <f>IF(E218="","VACIO",IF(H218&lt;0,"Vencido hace "&amp;H218*-1&amp;" días",IF(H218=0,"Vence hoy",IF(H218&lt;4,"Tiene "&amp;H218&amp;" días","Faltan "&amp;H218&amp;" días"))))</f>
        <v/>
      </c>
      <c r="H218" s="23">
        <f>F218-$B$2</f>
        <v/>
      </c>
      <c r="I218" s="84" t="n"/>
      <c r="J218" s="37" t="n"/>
      <c r="K218" s="38" t="n"/>
    </row>
    <row r="219">
      <c r="B219" s="4">
        <f t="array" ref="B219">IF(LEN(TRIM(C219))=0,"","Fact_"&amp;TEXT(SUMPRODUCT(--(LEN(TRIM($C$2:C217))&gt;0))-1,"000"))</f>
        <v/>
      </c>
      <c r="C219" s="2" t="n"/>
      <c r="D219" s="29" t="n">
        <v>45251</v>
      </c>
      <c r="E219" s="2" t="n"/>
      <c r="F219" s="21">
        <f>IF(Tabla1[[#This Row],[Días a vencer]]="","",D219+E219)</f>
        <v/>
      </c>
      <c r="G219" s="22">
        <f>IF(E219="","VACIO",IF(H219&lt;0,"Vencido hace "&amp;H219*-1&amp;" días",IF(H219=0,"Vence hoy",IF(H219&lt;4,"Tiene "&amp;H219&amp;" días","Faltan "&amp;H219&amp;" días"))))</f>
        <v/>
      </c>
      <c r="H219" s="23">
        <f>F219-$B$2</f>
        <v/>
      </c>
      <c r="I219" s="84" t="n"/>
      <c r="K219" s="38" t="n"/>
    </row>
    <row r="220">
      <c r="B220" s="4">
        <f t="array" ref="B220">IF(LEN(TRIM(C220))=0,"","Fact_"&amp;TEXT(SUMPRODUCT(--(LEN(TRIM($C$2:C218))&gt;0))-1,"000"))</f>
        <v/>
      </c>
      <c r="C220" s="2" t="inlineStr">
        <is>
          <t>tia norma</t>
        </is>
      </c>
      <c r="D220" s="28" t="n">
        <v>45931</v>
      </c>
      <c r="E220" s="2" t="n">
        <v>365</v>
      </c>
      <c r="F220" s="21">
        <f>IF(Tabla1[[#This Row],[Días a vencer]]="","",D220+E220)</f>
        <v/>
      </c>
      <c r="G220" s="22">
        <f>IF(E220="","VACIO",IF(H220&lt;0,"Vencido hace "&amp;H220*-1&amp;" días",IF(H220=0,"Vence hoy",IF(H220&lt;4,"Tiene "&amp;H220&amp;" días","Faltan "&amp;H220&amp;" días"))))</f>
        <v/>
      </c>
      <c r="H220" s="23">
        <f>F220-$B$2</f>
        <v/>
      </c>
      <c r="I220" s="41" t="inlineStr">
        <is>
          <t xml:space="preserve">prime video </t>
        </is>
      </c>
      <c r="J220" s="37" t="inlineStr">
        <is>
          <t>uiiiii10y.o.u@gmail.com:Arana6868</t>
        </is>
      </c>
      <c r="K220" s="38" t="n"/>
    </row>
    <row r="221">
      <c r="B221" s="4">
        <f t="array" ref="B221">IF(LEN(TRIM(C221))=0,"","Fact_"&amp;TEXT(SUMPRODUCT(--(LEN(TRIM($C$2:C219))&gt;0))-1,"000"))</f>
        <v/>
      </c>
      <c r="C221" s="2" t="n"/>
      <c r="D221" s="28" t="n">
        <v>44941</v>
      </c>
      <c r="E221" s="2" t="n"/>
      <c r="F221" s="21">
        <f>IF(Tabla1[[#This Row],[Días a vencer]]="","",D221+E221)</f>
        <v/>
      </c>
      <c r="G221" s="22">
        <f>IF(E221="","VACIO",IF(H221&lt;0,"Vencido hace "&amp;H221*-1&amp;" días",IF(H221=0,"Vence hoy",IF(H221&lt;4,"Tiene "&amp;H221&amp;" días","Faltan "&amp;H221&amp;" días"))))</f>
        <v/>
      </c>
      <c r="H221" s="23">
        <f>F221-$B$2</f>
        <v/>
      </c>
      <c r="I221" s="84" t="n"/>
      <c r="J221" s="37" t="n"/>
      <c r="K221" s="38" t="n"/>
    </row>
    <row r="222">
      <c r="B222" s="4">
        <f t="array" ref="B222">IF(LEN(TRIM(C222))=0,"","Fact_"&amp;TEXT(SUMPRODUCT(--(LEN(TRIM($C$2:C220))&gt;0))-1,"000"))</f>
        <v/>
      </c>
      <c r="C222" s="2" t="n"/>
      <c r="D222" s="28" t="n">
        <v>45322</v>
      </c>
      <c r="E222" s="2" t="n"/>
      <c r="F222" s="21">
        <f>IF(Tabla1[[#This Row],[Días a vencer]]="","",D222+E222)</f>
        <v/>
      </c>
      <c r="G222" s="22">
        <f>IF(E222="","VACIO",IF(H222&lt;0,"Vencido hace "&amp;H222*-1&amp;" días",IF(H222=0,"Vence hoy",IF(H222&lt;4,"Tiene "&amp;H222&amp;" días","Faltan "&amp;H222&amp;" días"))))</f>
        <v/>
      </c>
      <c r="H222" s="23">
        <f>F222-$B$2</f>
        <v/>
      </c>
      <c r="I222" s="84" t="n"/>
      <c r="J222" s="37" t="n"/>
      <c r="K222" s="38" t="n"/>
    </row>
    <row r="223">
      <c r="B223" s="4">
        <f t="array" ref="B223">IF(LEN(TRIM(C223))=0,"","Fact_"&amp;TEXT(SUMPRODUCT(--(LEN(TRIM($C$2:C221))&gt;0))-1,"000"))</f>
        <v/>
      </c>
      <c r="C223" s="2" t="inlineStr">
        <is>
          <t>tia norma</t>
        </is>
      </c>
      <c r="D223" s="28" t="n">
        <v>45757</v>
      </c>
      <c r="E223" s="2" t="n">
        <v>365</v>
      </c>
      <c r="F223" s="21">
        <f>IF(Tabla1[[#This Row],[Días a vencer]]="","",D223+E223)</f>
        <v/>
      </c>
      <c r="G223" s="22">
        <f>IF(E223="","VACIO",IF(H223&lt;0,"Vencido hace "&amp;H223*-1&amp;" días",IF(H223=0,"Vence hoy",IF(H223&lt;4,"Tiene "&amp;H223&amp;" días","Faltan "&amp;H223&amp;" días"))))</f>
        <v/>
      </c>
      <c r="H223" s="23">
        <f>F223-$B$2</f>
        <v/>
      </c>
      <c r="I223" s="43" t="inlineStr">
        <is>
          <t>Disney + y netflix</t>
        </is>
      </c>
      <c r="J223" s="37" t="n"/>
      <c r="K223" s="38" t="n"/>
    </row>
    <row r="224">
      <c r="B224" s="4">
        <f t="array" ref="B224">IF(LEN(TRIM(C224))=0,"","Fact_"&amp;TEXT(SUMPRODUCT(--(LEN(TRIM($C$2:C222))&gt;0))-1,"000"))</f>
        <v/>
      </c>
      <c r="C224" s="2" t="n"/>
      <c r="D224" s="28" t="n">
        <v>45799</v>
      </c>
      <c r="E224" s="2" t="n"/>
      <c r="F224" s="21">
        <f>IF(Tabla1[[#This Row],[Días a vencer]]="","",D224+E224)</f>
        <v/>
      </c>
      <c r="G224" s="22">
        <f>IF(E224="","VACIO",IF(H224&lt;0,"Vencido hace "&amp;H224*-1&amp;" días",IF(H224=0,"Vence hoy",IF(H224&lt;4,"Tiene "&amp;H224&amp;" días","Faltan "&amp;H224&amp;" días"))))</f>
        <v/>
      </c>
      <c r="H224" s="23">
        <f>F224-$B$2</f>
        <v/>
      </c>
      <c r="I224" s="84" t="n"/>
      <c r="J224" s="37" t="n"/>
      <c r="K224" s="38" t="n"/>
    </row>
    <row r="225">
      <c r="B225" s="4">
        <f t="array" ref="B225">IF(LEN(TRIM(C225))=0,"","Fact_"&amp;TEXT(SUMPRODUCT(--(LEN(TRIM($C$2:C223))&gt;0))-1,"000"))</f>
        <v/>
      </c>
      <c r="C225" s="2" t="inlineStr">
        <is>
          <t>tia norma</t>
        </is>
      </c>
      <c r="D225" s="28" t="n">
        <v>45884</v>
      </c>
      <c r="E225" s="2" t="n">
        <v>90</v>
      </c>
      <c r="F225" s="21">
        <f>IF(Tabla1[[#This Row],[Días a vencer]]="","",D225+E225)</f>
        <v/>
      </c>
      <c r="G225" s="22">
        <f>IF(E225="","VACIO",IF(H225&lt;0,"Vencido hace "&amp;H225*-1&amp;" días",IF(H225=0,"Vence hoy",IF(H225&lt;4,"Tiene "&amp;H225&amp;" días","Faltan "&amp;H225&amp;" días"))))</f>
        <v/>
      </c>
      <c r="H225" s="23">
        <f>F225-$B$2</f>
        <v/>
      </c>
      <c r="I225" s="45" t="inlineStr">
        <is>
          <t xml:space="preserve">netflix </t>
        </is>
      </c>
      <c r="J225" s="37" t="inlineStr">
        <is>
          <t>ap2.9.4304.4@gmail.com:?updateType</t>
        </is>
      </c>
      <c r="K225" s="38" t="n"/>
    </row>
    <row r="226">
      <c r="B226" s="4">
        <f t="array" ref="B226">IF(LEN(TRIM(C226))=0,"","Fact_"&amp;TEXT(SUMPRODUCT(--(LEN(TRIM($C$2:C224))&gt;0))-1,"000"))</f>
        <v/>
      </c>
      <c r="C226" s="2" t="n"/>
      <c r="D226" s="28" t="n">
        <v>45566</v>
      </c>
      <c r="E226" s="2" t="n"/>
      <c r="F226" s="21">
        <f>IF(Tabla1[[#This Row],[Días a vencer]]="","",D226+E226)</f>
        <v/>
      </c>
      <c r="G226" s="22">
        <f>IF(E226="","VACIO",IF(H226&lt;0,"Vencido hace "&amp;H226*-1&amp;" días",IF(H226=0,"Vence hoy",IF(H226&lt;4,"Tiene "&amp;H226&amp;" días","Faltan "&amp;H226&amp;" días"))))</f>
        <v/>
      </c>
      <c r="H226" s="23">
        <f>F226-$B$2</f>
        <v/>
      </c>
      <c r="I226" s="84" t="n"/>
      <c r="J226" s="37" t="n"/>
      <c r="K226" s="38" t="n"/>
    </row>
    <row r="227">
      <c r="B227" s="4">
        <f t="array" ref="B227">IF(LEN(TRIM(C227))=0,"","Fact_"&amp;TEXT(SUMPRODUCT(--(LEN(TRIM($C$2:C225))&gt;0))-1,"000"))</f>
        <v/>
      </c>
      <c r="C227" s="2" t="n"/>
      <c r="D227" s="28" t="n">
        <v>45355</v>
      </c>
      <c r="E227" s="2" t="n"/>
      <c r="F227" s="21">
        <f>IF(Tabla1[[#This Row],[Días a vencer]]="","",D227+E227)</f>
        <v/>
      </c>
      <c r="G227" s="22">
        <f>IF(E227="","VACIO",IF(H227&lt;0,"Vencido hace "&amp;H227*-1&amp;" días",IF(H227=0,"Vence hoy",IF(H227&lt;4,"Tiene "&amp;H227&amp;" días","Faltan "&amp;H227&amp;" días"))))</f>
        <v/>
      </c>
      <c r="H227" s="23">
        <f>F227-$B$2</f>
        <v/>
      </c>
      <c r="I227" s="84" t="n"/>
      <c r="J227" s="37" t="n"/>
      <c r="K227" s="38" t="n"/>
    </row>
    <row r="228">
      <c r="B228" s="4">
        <f t="array" ref="B228">IF(LEN(TRIM(C228))=0,"","Fact_"&amp;TEXT(SUMPRODUCT(--(LEN(TRIM($C$2:C226))&gt;0))-1,"000"))</f>
        <v/>
      </c>
      <c r="C228" s="2" t="n"/>
      <c r="D228" s="28" t="n">
        <v>45566</v>
      </c>
      <c r="E228" s="2" t="n"/>
      <c r="F228" s="21">
        <f>IF(Tabla1[[#This Row],[Días a vencer]]="","",D228+E228)</f>
        <v/>
      </c>
      <c r="G228" s="22">
        <f>IF(E228="","VACIO",IF(H228&lt;0,"Vencido hace "&amp;H228*-1&amp;" días",IF(H228=0,"Vence hoy",IF(H228&lt;4,"Tiene "&amp;H228&amp;" días","Faltan "&amp;H228&amp;" días"))))</f>
        <v/>
      </c>
      <c r="H228" s="23">
        <f>F228-$B$2</f>
        <v/>
      </c>
      <c r="I228" s="84" t="n"/>
      <c r="J228" s="37" t="n"/>
      <c r="K228" s="38" t="n"/>
    </row>
    <row r="229">
      <c r="B229" s="4">
        <f t="array" ref="B229">IF(LEN(TRIM(C229))=0,"","Fact_"&amp;TEXT(SUMPRODUCT(--(LEN(TRIM($C$2:C227))&gt;0))-1,"000"))</f>
        <v/>
      </c>
      <c r="C229" s="2" t="n"/>
      <c r="D229" s="28" t="n">
        <v>45314</v>
      </c>
      <c r="E229" s="2" t="n"/>
      <c r="F229" s="21">
        <f>IF(Tabla1[[#This Row],[Días a vencer]]="","",D229+E229)</f>
        <v/>
      </c>
      <c r="G229" s="22">
        <f>IF(E229="","VACIO",IF(H229&lt;0,"Vencido hace "&amp;H229*-1&amp;" días",IF(H229=0,"Vence hoy",IF(H229&lt;4,"Tiene "&amp;H229&amp;" días","Faltan "&amp;H229&amp;" días"))))</f>
        <v/>
      </c>
      <c r="H229" s="23">
        <f>F229-$B$2</f>
        <v/>
      </c>
      <c r="I229" s="84" t="n"/>
      <c r="J229" s="37" t="n"/>
      <c r="K229" s="38" t="n"/>
    </row>
    <row r="230">
      <c r="B230" s="4">
        <f t="array" ref="B230">IF(LEN(TRIM(C230))=0,"","Fact_"&amp;TEXT(SUMPRODUCT(--(LEN(TRIM($C$2:C228))&gt;0))-1,"000"))</f>
        <v/>
      </c>
      <c r="C230" s="2" t="n"/>
      <c r="D230" s="28" t="n">
        <v>45357</v>
      </c>
      <c r="E230" s="2" t="n"/>
      <c r="F230" s="21">
        <f>IF(Tabla1[[#This Row],[Días a vencer]]="","",D230+E230)</f>
        <v/>
      </c>
      <c r="G230" s="22">
        <f>IF(E230="","VACIO",IF(H230&lt;0,"Vencido hace "&amp;H230*-1&amp;" días",IF(H230=0,"Vence hoy",IF(H230&lt;4,"Tiene "&amp;H230&amp;" días","Faltan "&amp;H230&amp;" días"))))</f>
        <v/>
      </c>
      <c r="H230" s="23">
        <f>F230-$B$2</f>
        <v/>
      </c>
      <c r="I230" s="84" t="n"/>
      <c r="J230" s="37" t="n"/>
      <c r="K230" s="38" t="n"/>
    </row>
    <row r="231">
      <c r="B231" s="4">
        <f t="array" ref="B231">IF(LEN(TRIM(C231))=0,"","Fact_"&amp;TEXT(SUMPRODUCT(--(LEN(TRIM($C$2:C229))&gt;0))-1,"000"))</f>
        <v/>
      </c>
      <c r="C231" s="2" t="n"/>
      <c r="D231" s="28" t="n">
        <v>45322</v>
      </c>
      <c r="E231" s="2" t="n"/>
      <c r="F231" s="21">
        <f>IF(Tabla1[[#This Row],[Días a vencer]]="","",D231+E231)</f>
        <v/>
      </c>
      <c r="G231" s="22">
        <f>IF(E231="","VACIO",IF(H231&lt;0,"Vencido hace "&amp;H231*-1&amp;" días",IF(H231=0,"Vence hoy",IF(H231&lt;4,"Tiene "&amp;H231&amp;" días","Faltan "&amp;H231&amp;" días"))))</f>
        <v/>
      </c>
      <c r="H231" s="23">
        <f>F231-$B$2</f>
        <v/>
      </c>
      <c r="I231" s="84" t="n"/>
      <c r="J231" s="37" t="n"/>
      <c r="K231" s="38" t="n"/>
    </row>
    <row r="232">
      <c r="B232" s="4">
        <f t="array" ref="B232">IF(LEN(TRIM(C232))=0,"","Fact_"&amp;TEXT(SUMPRODUCT(--(LEN(TRIM($C$2:C230))&gt;0))-1,"000"))</f>
        <v/>
      </c>
      <c r="C232" s="2" t="n"/>
      <c r="D232" s="28" t="n">
        <v>44951</v>
      </c>
      <c r="E232" s="2" t="n"/>
      <c r="F232" s="21">
        <f>IF(Tabla1[[#This Row],[Días a vencer]]="","",D232+E232)</f>
        <v/>
      </c>
      <c r="G232" s="22">
        <f>IF(E232="","VACIO",IF(H232&lt;0,"Vencido hace "&amp;H232*-1&amp;" días",IF(H232=0,"Vence hoy",IF(H232&lt;4,"Tiene "&amp;H232&amp;" días","Faltan "&amp;H232&amp;" días"))))</f>
        <v/>
      </c>
      <c r="H232" s="23">
        <f>F232-$B$2</f>
        <v/>
      </c>
      <c r="I232" s="84" t="n"/>
      <c r="J232" s="37" t="n"/>
      <c r="K232" s="38" t="n"/>
    </row>
    <row r="233">
      <c r="B233" s="4">
        <f t="array" ref="B233">IF(LEN(TRIM(C233))=0,"","Fact_"&amp;TEXT(SUMPRODUCT(--(LEN(TRIM($C$2:C231))&gt;0))-1,"000"))</f>
        <v/>
      </c>
      <c r="C233" s="34" t="n"/>
      <c r="D233" s="28" t="n">
        <v>45322</v>
      </c>
      <c r="E233" s="2" t="n"/>
      <c r="F233" s="21">
        <f>IF(Tabla1[[#This Row],[Días a vencer]]="","",D233+E233)</f>
        <v/>
      </c>
      <c r="G233" s="22">
        <f>IF(E233="","VACIO",IF(H233&lt;0,"Vencido hace "&amp;H233*-1&amp;" días",IF(H233=0,"Vence hoy",IF(H233&lt;4,"Tiene "&amp;H233&amp;" días","Faltan "&amp;H233&amp;" días"))))</f>
        <v/>
      </c>
      <c r="H233" s="23">
        <f>F233-$B$2</f>
        <v/>
      </c>
      <c r="I233" s="84" t="n"/>
      <c r="J233" s="46" t="n"/>
      <c r="K233" s="40" t="n"/>
    </row>
    <row r="234">
      <c r="B234" s="4">
        <f t="array" ref="B234">IF(LEN(TRIM(C234))=0,"","Fact_"&amp;TEXT(SUMPRODUCT(--(LEN(TRIM($C$2:C232))&gt;0))-1,"000"))</f>
        <v/>
      </c>
      <c r="C234" s="2" t="n"/>
      <c r="D234" s="28" t="n">
        <v>45062</v>
      </c>
      <c r="E234" s="2" t="n"/>
      <c r="F234" s="21">
        <f>IF(Tabla1[[#This Row],[Días a vencer]]="","",D234+E234)</f>
        <v/>
      </c>
      <c r="G234" s="22">
        <f>IF(E234="","VACIO",IF(H234&lt;0,"Vencido hace "&amp;H234*-1&amp;" días",IF(H234=0,"Vence hoy",IF(H234&lt;4,"Tiene "&amp;H234&amp;" días","Faltan "&amp;H234&amp;" días"))))</f>
        <v/>
      </c>
      <c r="H234" s="23">
        <f>F234-$B$2</f>
        <v/>
      </c>
      <c r="I234" s="84" t="n"/>
      <c r="J234" s="37" t="n"/>
      <c r="K234" s="38" t="n"/>
    </row>
    <row r="235">
      <c r="B235" s="4">
        <f t="array" ref="B235">IF(LEN(TRIM(C235))=0,"","Fact_"&amp;TEXT(SUMPRODUCT(--(LEN(TRIM($C$2:C233))&gt;0))-1,"000"))</f>
        <v/>
      </c>
      <c r="C235" s="2" t="n"/>
      <c r="D235" s="28" t="n">
        <v>45055</v>
      </c>
      <c r="E235" s="2" t="n"/>
      <c r="F235" s="21">
        <f>IF(Tabla1[[#This Row],[Días a vencer]]="","",D235+E235)</f>
        <v/>
      </c>
      <c r="G235" s="22">
        <f>IF(E235="","VACIO",IF(H235&lt;0,"Vencido hace "&amp;H235*-1&amp;" días",IF(H235=0,"Vence hoy",IF(H235&lt;4,"Tiene "&amp;H235&amp;" días","Faltan "&amp;H235&amp;" días"))))</f>
        <v/>
      </c>
      <c r="H235" s="23">
        <f>F235-$B$2</f>
        <v/>
      </c>
      <c r="I235" s="84" t="n"/>
      <c r="J235" s="37" t="n"/>
      <c r="K235" s="38" t="n"/>
    </row>
    <row r="236">
      <c r="B236" s="4">
        <f t="array" ref="B236">IF(LEN(TRIM(C236))=0,"","Fact_"&amp;TEXT(SUMPRODUCT(--(LEN(TRIM($C$2:C234))&gt;0))-1,"000"))</f>
        <v/>
      </c>
      <c r="C236" s="2" t="n"/>
      <c r="D236" s="28" t="n">
        <v>45350</v>
      </c>
      <c r="E236" s="2" t="n"/>
      <c r="F236" s="21">
        <f>IF(Tabla1[[#This Row],[Días a vencer]]="","",D236+E236)</f>
        <v/>
      </c>
      <c r="G236" s="22">
        <f>IF(E236="","VACIO",IF(H236&lt;0,"Vencido hace "&amp;H236*-1&amp;" días",IF(H236=0,"Vence hoy",IF(H236&lt;4,"Tiene "&amp;H236&amp;" días","Faltan "&amp;H236&amp;" días"))))</f>
        <v/>
      </c>
      <c r="H236" s="23">
        <f>F236-$B$2</f>
        <v/>
      </c>
      <c r="I236" s="84" t="n"/>
      <c r="K236" s="38" t="n"/>
    </row>
    <row r="237">
      <c r="B237" s="4">
        <f t="array" ref="B237">IF(LEN(TRIM(C237))=0,"","Fact_"&amp;TEXT(SUMPRODUCT(--(LEN(TRIM($C$2:C235))&gt;0))-1,"000"))</f>
        <v/>
      </c>
      <c r="C237" s="2" t="n"/>
      <c r="D237" s="28" t="n">
        <v>45832</v>
      </c>
      <c r="E237" s="2" t="n"/>
      <c r="F237" s="21">
        <f>IF(Tabla1[[#This Row],[Días a vencer]]="","",D237+E237)</f>
        <v/>
      </c>
      <c r="G237" s="22">
        <f>IF(E237="","VACIO",IF(H237&lt;0,"Vencido hace "&amp;H237*-1&amp;" días",IF(H237=0,"Vence hoy",IF(H237&lt;4,"Tiene "&amp;H237&amp;" días","Faltan "&amp;H237&amp;" días"))))</f>
        <v/>
      </c>
      <c r="H237" s="23">
        <f>F237-$B$2</f>
        <v/>
      </c>
      <c r="I237" s="84" t="n"/>
      <c r="J237" s="67" t="n"/>
      <c r="K237" s="38" t="n"/>
    </row>
    <row r="238">
      <c r="B238" s="4">
        <f t="array" ref="B238">IF(LEN(TRIM(C238))=0,"","Fact_"&amp;TEXT(SUMPRODUCT(--(LEN(TRIM($C$2:C236))&gt;0))-1,"000"))</f>
        <v/>
      </c>
      <c r="C238" s="2" t="n"/>
      <c r="D238" s="28" t="n">
        <v>45290</v>
      </c>
      <c r="E238" s="2" t="n"/>
      <c r="F238" s="21">
        <f>IF(Tabla1[[#This Row],[Días a vencer]]="","",D238+E238)</f>
        <v/>
      </c>
      <c r="G238" s="22">
        <f>IF(E238="","VACIO",IF(H238&lt;0,"Vencido hace "&amp;H238*-1&amp;" días",IF(H238=0,"Vence hoy",IF(H238&lt;4,"Tiene "&amp;H238&amp;" días","Faltan "&amp;H238&amp;" días"))))</f>
        <v/>
      </c>
      <c r="H238" s="23">
        <f>F238-$B$2</f>
        <v/>
      </c>
      <c r="I238" s="84" t="n"/>
      <c r="J238" s="37" t="n"/>
      <c r="K238" s="38" t="n"/>
    </row>
    <row r="239">
      <c r="B239" s="4">
        <f t="array" ref="B239">IF(LEN(TRIM(C239))=0,"","Fact_"&amp;TEXT(SUMPRODUCT(--(LEN(TRIM($C$2:C237))&gt;0))-1,"000"))</f>
        <v/>
      </c>
      <c r="C239" s="2" t="inlineStr">
        <is>
          <t xml:space="preserve">Christopher Green </t>
        </is>
      </c>
      <c r="D239" s="28" t="n">
        <v>45832</v>
      </c>
      <c r="E239" s="2" t="n">
        <v>90</v>
      </c>
      <c r="F239" s="21">
        <f>IF(Tabla1[[#This Row],[Días a vencer]]="","",D239+E239)</f>
        <v/>
      </c>
      <c r="G239" s="22">
        <f>IF(E239="","VACIO",IF(H239&lt;0,"Vencido hace "&amp;H239*-1&amp;" días",IF(H239=0,"Vence hoy",IF(H239&lt;4,"Tiene "&amp;H239&amp;" días","Faltan "&amp;H239&amp;" días"))))</f>
        <v/>
      </c>
      <c r="H239" s="23">
        <f>F239-$B$2</f>
        <v/>
      </c>
      <c r="I239" s="50" t="inlineStr">
        <is>
          <t>Game Pass</t>
        </is>
      </c>
      <c r="J239" s="37" t="inlineStr">
        <is>
          <t>mogapestoso33@outlook.com:gearsofwar3451</t>
        </is>
      </c>
      <c r="K239" s="38" t="n"/>
    </row>
    <row r="240">
      <c r="B240" s="4">
        <f t="array" ref="B240">IF(LEN(TRIM(C240))=0,"","Fact_"&amp;TEXT(SUMPRODUCT(--(LEN(TRIM($C$2:C238))&gt;0))-1,"000"))</f>
        <v/>
      </c>
      <c r="C240" s="2" t="n"/>
      <c r="D240" s="28" t="n">
        <v>45504</v>
      </c>
      <c r="E240" s="2" t="n"/>
      <c r="F240" s="21">
        <f>IF(Tabla1[[#This Row],[Días a vencer]]="","",D240+E240)</f>
        <v/>
      </c>
      <c r="G240" s="22">
        <f>IF(E240="","VACIO",IF(H240&lt;0,"Vencido hace "&amp;H240*-1&amp;" días",IF(H240=0,"Vence hoy",IF(H240&lt;4,"Tiene "&amp;H240&amp;" días","Faltan "&amp;H240&amp;" días"))))</f>
        <v/>
      </c>
      <c r="H240" s="23">
        <f>F240-$B$2</f>
        <v/>
      </c>
      <c r="I240" s="84" t="n"/>
      <c r="J240" s="61" t="n"/>
      <c r="K240" s="38" t="n"/>
    </row>
    <row r="241">
      <c r="B241" s="4">
        <f t="array" ref="B241">IF(LEN(TRIM(C241))=0,"","Fact_"&amp;TEXT(SUMPRODUCT(--(LEN(TRIM($C$2:C239))&gt;0))-1,"000"))</f>
        <v/>
      </c>
      <c r="C241" s="2" t="n"/>
      <c r="D241" s="28" t="n">
        <v>45166</v>
      </c>
      <c r="E241" s="2" t="n"/>
      <c r="F241" s="21">
        <f>IF(Tabla1[[#This Row],[Días a vencer]]="","",D241+E241)</f>
        <v/>
      </c>
      <c r="G241" s="22">
        <f>IF(E241="","VACIO",IF(H241&lt;0,"Vencido hace "&amp;H241*-1&amp;" días",IF(H241=0,"Vence hoy",IF(H241&lt;4,"Tiene "&amp;H241&amp;" días","Faltan "&amp;H241&amp;" días"))))</f>
        <v/>
      </c>
      <c r="H241" s="23">
        <f>F241-$B$2</f>
        <v/>
      </c>
      <c r="I241" s="84" t="n"/>
      <c r="J241" s="67" t="n"/>
      <c r="K241" s="38" t="n"/>
    </row>
    <row r="242">
      <c r="B242" s="4">
        <f t="array" ref="B242">IF(LEN(TRIM(C242))=0,"","Fact_"&amp;TEXT(SUMPRODUCT(--(LEN(TRIM($C$2:C240))&gt;0))-1,"000"))</f>
        <v/>
      </c>
      <c r="C242" s="2" t="n"/>
      <c r="D242" s="28" t="n">
        <v>45562</v>
      </c>
      <c r="E242" s="2" t="n"/>
      <c r="F242" s="21">
        <f>IF(Tabla1[[#This Row],[Días a vencer]]="","",D242+E242)</f>
        <v/>
      </c>
      <c r="G242" s="22">
        <f>IF(E242="","VACIO",IF(H242&lt;0,"Vencido hace "&amp;H242*-1&amp;" días",IF(H242=0,"Vence hoy",IF(H242&lt;4,"Tiene "&amp;H242&amp;" días","Faltan "&amp;H242&amp;" días"))))</f>
        <v/>
      </c>
      <c r="H242" s="23">
        <f>F242-$B$2</f>
        <v/>
      </c>
      <c r="I242" s="84" t="n"/>
      <c r="J242" s="62" t="n"/>
      <c r="K242" s="38" t="n"/>
    </row>
    <row r="243">
      <c r="B243" s="4">
        <f t="array" ref="B243">IF(LEN(TRIM(C243))=0,"","Fact_"&amp;TEXT(SUMPRODUCT(--(LEN(TRIM($C$2:C241))&gt;0))-1,"000"))</f>
        <v/>
      </c>
      <c r="C243" s="2" t="n"/>
      <c r="D243" s="28" t="n">
        <v>45061</v>
      </c>
      <c r="E243" s="2" t="n"/>
      <c r="F243" s="21">
        <f>IF(Tabla1[[#This Row],[Días a vencer]]="","",D243+E243)</f>
        <v/>
      </c>
      <c r="G243" s="22">
        <f>IF(E243="","VACIO",IF(H243&lt;0,"Vencido hace "&amp;H243*-1&amp;" días",IF(H243=0,"Vence hoy",IF(H243&lt;4,"Tiene "&amp;H243&amp;" días","Faltan "&amp;H243&amp;" días"))))</f>
        <v/>
      </c>
      <c r="H243" s="23">
        <f>F243-$B$2</f>
        <v/>
      </c>
      <c r="I243" s="84" t="n"/>
      <c r="J243" s="37" t="n"/>
      <c r="K243" s="38" t="n"/>
    </row>
    <row r="244">
      <c r="B244" s="4">
        <f t="array" ref="B244">IF(LEN(TRIM(C244))=0,"","Fact_"&amp;TEXT(SUMPRODUCT(--(LEN(TRIM($C$2:C242))&gt;0))-1,"000"))</f>
        <v/>
      </c>
      <c r="C244" s="2" t="n"/>
      <c r="D244" s="28" t="n">
        <v>45133</v>
      </c>
      <c r="E244" s="2" t="n"/>
      <c r="F244" s="21">
        <f>IF(Tabla1[[#This Row],[Días a vencer]]="","",D244+E244)</f>
        <v/>
      </c>
      <c r="G244" s="22">
        <f>IF(E244="","VACIO",IF(H244&lt;0,"Vencido hace "&amp;H244*-1&amp;" días",IF(H244=0,"Vence hoy",IF(H244&lt;4,"Tiene "&amp;H244&amp;" días","Faltan "&amp;H244&amp;" días"))))</f>
        <v/>
      </c>
      <c r="H244" s="23">
        <f>F244-$B$2</f>
        <v/>
      </c>
      <c r="I244" s="84" t="n"/>
      <c r="J244" s="37" t="n"/>
      <c r="K244" s="38" t="n"/>
    </row>
    <row r="245">
      <c r="B245" s="4">
        <f t="array" ref="B245">IF(LEN(TRIM(C245))=0,"","Fact_"&amp;TEXT(SUMPRODUCT(--(LEN(TRIM($C$2:C243))&gt;0))-1,"000"))</f>
        <v/>
      </c>
      <c r="C245" s="2" t="n"/>
      <c r="D245" s="28" t="n">
        <v>45536</v>
      </c>
      <c r="E245" s="2" t="n"/>
      <c r="F245" s="21">
        <f>IF(Tabla1[[#This Row],[Días a vencer]]="","",D245+E245)</f>
        <v/>
      </c>
      <c r="G245" s="22">
        <f>IF(E245="","VACIO",IF(H245&lt;0,"Vencido hace "&amp;H245*-1&amp;" días",IF(H245=0,"Vence hoy",IF(H245&lt;4,"Tiene "&amp;H245&amp;" días","Faltan "&amp;H245&amp;" días"))))</f>
        <v/>
      </c>
      <c r="H245" s="23">
        <f>F245-$B$2</f>
        <v/>
      </c>
      <c r="I245" s="84" t="n"/>
      <c r="J245" s="37" t="n"/>
      <c r="K245" s="38" t="n"/>
    </row>
    <row r="246">
      <c r="B246" s="4">
        <f t="array" ref="B246">IF(LEN(TRIM(C246))=0,"","Fact_"&amp;TEXT(SUMPRODUCT(--(LEN(TRIM($C$2:C244))&gt;0))-1,"000"))</f>
        <v/>
      </c>
      <c r="C246" s="2" t="n"/>
      <c r="D246" s="28" t="n">
        <v>45133</v>
      </c>
      <c r="E246" s="2" t="n"/>
      <c r="F246" s="21">
        <f>IF(Tabla1[[#This Row],[Días a vencer]]="","",D246+E246)</f>
        <v/>
      </c>
      <c r="G246" s="22">
        <f>IF(E246="","VACIO",IF(H246&lt;0,"Vencido hace "&amp;H246*-1&amp;" días",IF(H246=0,"Vence hoy",IF(H246&lt;4,"Tiene "&amp;H246&amp;" días","Faltan "&amp;H246&amp;" días"))))</f>
        <v/>
      </c>
      <c r="H246" s="23">
        <f>F246-$B$2</f>
        <v/>
      </c>
      <c r="I246" s="84" t="n"/>
      <c r="J246" s="37" t="n"/>
      <c r="K246" s="38" t="n"/>
    </row>
    <row r="247">
      <c r="B247" s="4">
        <f t="array" ref="B247">IF(LEN(TRIM(C247))=0,"","Fact_"&amp;TEXT(SUMPRODUCT(--(LEN(TRIM($C$2:C245))&gt;0))-1,"000"))</f>
        <v/>
      </c>
      <c r="C247" s="2" t="n"/>
      <c r="D247" s="28" t="n">
        <v>45133</v>
      </c>
      <c r="E247" s="2" t="n"/>
      <c r="F247" s="21">
        <f>IF(Tabla1[[#This Row],[Días a vencer]]="","",D247+E247)</f>
        <v/>
      </c>
      <c r="G247" s="22">
        <f>IF(E247="","VACIO",IF(H247&lt;0,"Vencido hace "&amp;H247*-1&amp;" días",IF(H247=0,"Vence hoy",IF(H247&lt;4,"Tiene "&amp;H247&amp;" días","Faltan "&amp;H247&amp;" días"))))</f>
        <v/>
      </c>
      <c r="H247" s="23">
        <f>F247-$B$2</f>
        <v/>
      </c>
      <c r="I247" s="84" t="n"/>
      <c r="J247" s="37" t="n"/>
      <c r="K247" s="38" t="n"/>
    </row>
    <row r="248">
      <c r="B248" s="4">
        <f t="array" ref="B248">IF(LEN(TRIM(C248))=0,"","Fact_"&amp;TEXT(SUMPRODUCT(--(LEN(TRIM($C$2:C246))&gt;0))-1,"000"))</f>
        <v/>
      </c>
      <c r="C248" s="2" t="n"/>
      <c r="D248" s="28" t="n">
        <v>45016</v>
      </c>
      <c r="E248" s="2" t="n"/>
      <c r="F248" s="21">
        <f>IF(Tabla1[[#This Row],[Días a vencer]]="","",D248+E248)</f>
        <v/>
      </c>
      <c r="G248" s="22">
        <f>IF(E248="","VACIO",IF(H248&lt;0,"Vencido hace "&amp;H248*-1&amp;" días",IF(H248=0,"Vence hoy",IF(H248&lt;4,"Tiene "&amp;H248&amp;" días","Faltan "&amp;H248&amp;" días"))))</f>
        <v/>
      </c>
      <c r="H248" s="23">
        <f>F248-$B$2</f>
        <v/>
      </c>
      <c r="I248" s="84" t="n"/>
      <c r="J248" s="37" t="n"/>
      <c r="K248" s="38" t="n"/>
    </row>
    <row r="249">
      <c r="B249" s="4">
        <f t="array" ref="B249">IF(LEN(TRIM(C249))=0,"","Fact_"&amp;TEXT(SUMPRODUCT(--(LEN(TRIM($C$2:C247))&gt;0))-1,"000"))</f>
        <v/>
      </c>
      <c r="C249" s="2" t="n"/>
      <c r="D249" s="28" t="n">
        <v>44999</v>
      </c>
      <c r="E249" s="2" t="n"/>
      <c r="F249" s="21">
        <f>IF(Tabla1[[#This Row],[Días a vencer]]="","",D249+E249)</f>
        <v/>
      </c>
      <c r="G249" s="22">
        <f>IF(E249="","VACIO",IF(H249&lt;0,"Vencido hace "&amp;H249*-1&amp;" días",IF(H249=0,"Vence hoy",IF(H249&lt;4,"Tiene "&amp;H249&amp;" días","Faltan "&amp;H249&amp;" días"))))</f>
        <v/>
      </c>
      <c r="H249" s="23">
        <f>F249-$B$2</f>
        <v/>
      </c>
      <c r="I249" s="84" t="n"/>
      <c r="J249" s="37" t="n"/>
      <c r="K249" s="38" t="n"/>
    </row>
    <row r="250">
      <c r="B250" s="4">
        <f t="array" ref="B250">IF(LEN(TRIM(C250))=0,"","Fact_"&amp;TEXT(SUMPRODUCT(--(LEN(TRIM($C$2:C248))&gt;0))-1,"000"))</f>
        <v/>
      </c>
      <c r="C250" s="2" t="n"/>
      <c r="D250" s="28" t="n">
        <v>45148</v>
      </c>
      <c r="E250" s="2" t="n"/>
      <c r="F250" s="21">
        <f>IF(Tabla1[[#This Row],[Días a vencer]]="","",D250+E250)</f>
        <v/>
      </c>
      <c r="G250" s="22">
        <f>IF(E250="","VACIO",IF(H250&lt;0,"Vencido hace "&amp;H250*-1&amp;" días",IF(H250=0,"Vence hoy",IF(H250&lt;4,"Tiene "&amp;H250&amp;" días","Faltan "&amp;H250&amp;" días"))))</f>
        <v/>
      </c>
      <c r="H250" s="23">
        <f>F250-$B$2</f>
        <v/>
      </c>
      <c r="I250" s="84" t="n"/>
      <c r="J250" s="37" t="n"/>
      <c r="K250" s="38" t="n"/>
    </row>
    <row r="251">
      <c r="B251" s="4">
        <f t="array" ref="B251">IF(LEN(TRIM(C251))=0,"","Fact_"&amp;TEXT(SUMPRODUCT(--(LEN(TRIM($C$2:C249))&gt;0))-1,"000"))</f>
        <v/>
      </c>
      <c r="C251" s="2" t="n"/>
      <c r="D251" s="28" t="n">
        <v>45600</v>
      </c>
      <c r="E251" s="2" t="n"/>
      <c r="F251" s="21">
        <f>IF(Tabla1[[#This Row],[Días a vencer]]="","",D251+E251)</f>
        <v/>
      </c>
      <c r="G251" s="22">
        <f>IF(E251="","VACIO",IF(H251&lt;0,"Vencido hace "&amp;H251*-1&amp;" días",IF(H251=0,"Vence hoy",IF(H251&lt;4,"Tiene "&amp;H251&amp;" días","Faltan "&amp;H251&amp;" días"))))</f>
        <v/>
      </c>
      <c r="H251" s="23">
        <f>F251-$B$2</f>
        <v/>
      </c>
      <c r="I251" s="84" t="n"/>
      <c r="J251" s="37" t="n"/>
      <c r="K251" s="38" t="n"/>
    </row>
    <row r="252">
      <c r="B252" s="4">
        <f t="array" ref="B252">IF(LEN(TRIM(C252))=0,"","Fact_"&amp;TEXT(SUMPRODUCT(--(LEN(TRIM($C$2:C250))&gt;0))-1,"000"))</f>
        <v/>
      </c>
      <c r="C252" s="2" t="n"/>
      <c r="D252" s="28" t="n">
        <v>45030</v>
      </c>
      <c r="E252" s="2" t="n"/>
      <c r="F252" s="21">
        <f>IF(Tabla1[[#This Row],[Días a vencer]]="","",D252+E252)</f>
        <v/>
      </c>
      <c r="G252" s="22">
        <f>IF(E252="","VACIO",IF(H252&lt;0,"Vencido hace "&amp;H252*-1&amp;" días",IF(H252=0,"Vence hoy",IF(H252&lt;4,"Tiene "&amp;H252&amp;" días","Faltan "&amp;H252&amp;" días"))))</f>
        <v/>
      </c>
      <c r="H252" s="23">
        <f>F252-$B$2</f>
        <v/>
      </c>
      <c r="I252" s="84" t="n"/>
      <c r="J252" s="37" t="n"/>
      <c r="K252" s="38" t="n"/>
    </row>
    <row r="253">
      <c r="B253" s="4">
        <f t="array" ref="B253">IF(LEN(TRIM(C253))=0,"","Fact_"&amp;TEXT(SUMPRODUCT(--(LEN(TRIM($C$2:C251))&gt;0))-1,"000"))</f>
        <v/>
      </c>
      <c r="D253" s="28" t="n">
        <v>45699</v>
      </c>
      <c r="E253" s="2" t="n"/>
      <c r="F253" s="21">
        <f>IF(Tabla1[[#This Row],[Días a vencer]]="","",D253+E253)</f>
        <v/>
      </c>
      <c r="G253" s="22">
        <f>IF(E253="","VACIO",IF(H253&lt;0,"Vencido hace "&amp;H253*-1&amp;" días",IF(H253=0,"Vence hoy",IF(H253&lt;4,"Tiene "&amp;H253&amp;" días","Faltan "&amp;H253&amp;" días"))))</f>
        <v/>
      </c>
      <c r="H253" s="23">
        <f>F253-$B$2</f>
        <v/>
      </c>
      <c r="I253" s="84" t="n"/>
      <c r="J253" s="37" t="n"/>
      <c r="K253" s="38" t="n"/>
    </row>
    <row r="254">
      <c r="B254" s="4">
        <f t="array" ref="B254">IF(LEN(TRIM(C254))=0,"","Fact_"&amp;TEXT(SUMPRODUCT(--(LEN(TRIM($C$2:C252))&gt;0))-1,"000"))</f>
        <v/>
      </c>
      <c r="C254" s="2" t="n"/>
      <c r="D254" s="28" t="n">
        <v>45357</v>
      </c>
      <c r="E254" s="2" t="n"/>
      <c r="F254" s="21">
        <f>IF(Tabla1[[#This Row],[Días a vencer]]="","",D254+E254)</f>
        <v/>
      </c>
      <c r="G254" s="22">
        <f>IF(E254="","VACIO",IF(H254&lt;0,"Vencido hace "&amp;H254*-1&amp;" días",IF(H254=0,"Vence hoy",IF(H254&lt;4,"Tiene "&amp;H254&amp;" días","Faltan "&amp;H254&amp;" días"))))</f>
        <v/>
      </c>
      <c r="H254" s="23">
        <f>F254-$B$2</f>
        <v/>
      </c>
      <c r="J254" s="37" t="n"/>
      <c r="K254" s="38" t="n"/>
    </row>
    <row r="255">
      <c r="B255" s="4">
        <f t="array" ref="B255">IF(LEN(TRIM(C255))=0,"","Fact_"&amp;TEXT(SUMPRODUCT(--(LEN(TRIM($C$2:C253))&gt;0))-1,"000"))</f>
        <v/>
      </c>
      <c r="C255" s="2" t="n"/>
      <c r="D255" s="28" t="n">
        <v>45072</v>
      </c>
      <c r="E255" s="2" t="n"/>
      <c r="F255" s="21">
        <f>IF(Tabla1[[#This Row],[Días a vencer]]="","",D255+E255)</f>
        <v/>
      </c>
      <c r="G255" s="22">
        <f>IF(E255="","VACIO",IF(H255&lt;0,"Vencido hace "&amp;H255*-1&amp;" días",IF(H255=0,"Vence hoy",IF(H255&lt;4,"Tiene "&amp;H255&amp;" días","Faltan "&amp;H255&amp;" días"))))</f>
        <v/>
      </c>
      <c r="H255" s="23">
        <f>F255-$B$2</f>
        <v/>
      </c>
      <c r="I255" s="84" t="n"/>
      <c r="J255" s="37" t="n"/>
      <c r="K255" s="38" t="n"/>
    </row>
    <row r="256">
      <c r="B256" s="4">
        <f t="array" ref="B256">IF(LEN(TRIM(C256))=0,"","Fact_"&amp;TEXT(SUMPRODUCT(--(LEN(TRIM($C$2:C254))&gt;0))-1,"000"))</f>
        <v/>
      </c>
      <c r="C256" s="2" t="n"/>
      <c r="D256" s="28" t="n">
        <v>45040</v>
      </c>
      <c r="E256" s="2" t="n"/>
      <c r="F256" s="21">
        <f>IF(Tabla1[[#This Row],[Días a vencer]]="","",D256+E256)</f>
        <v/>
      </c>
      <c r="G256" s="22">
        <f>IF(E256="","VACIO",IF(H256&lt;0,"Vencido hace "&amp;H256*-1&amp;" días",IF(H256=0,"Vence hoy",IF(H256&lt;4,"Tiene "&amp;H256&amp;" días","Faltan "&amp;H256&amp;" días"))))</f>
        <v/>
      </c>
      <c r="H256" s="23">
        <f>F256-$B$2</f>
        <v/>
      </c>
      <c r="J256" s="46" t="n"/>
      <c r="K256" s="38" t="n"/>
    </row>
    <row r="257">
      <c r="B257" s="4">
        <f t="array" ref="B257">IF(LEN(TRIM(C257))=0,"","Fact_"&amp;TEXT(SUMPRODUCT(--(LEN(TRIM($C$2:C255))&gt;0))-1,"000"))</f>
        <v/>
      </c>
      <c r="C257" s="69" t="n"/>
      <c r="D257" s="70" t="n"/>
      <c r="E257" s="69" t="n"/>
      <c r="F257" s="70">
        <f>IF(Tabla1[[#This Row],[Días a vencer]]="","",D257+E257)</f>
        <v/>
      </c>
      <c r="G257" s="69">
        <f>IF(E257="","VACIO",IF(H257&lt;0,"Vencido hace "&amp;H257*-1&amp;" días",IF(H257=0,"Vence hoy",IF(H257&lt;4,"Tiene "&amp;H257&amp;" días","Faltan "&amp;H257&amp;" días"))))</f>
        <v/>
      </c>
      <c r="H257" s="71">
        <f>F257-$B$2</f>
        <v/>
      </c>
      <c r="J257" s="37" t="n"/>
      <c r="K257" s="38" t="n"/>
    </row>
    <row r="258">
      <c r="B258" s="4">
        <f t="array" ref="B258">IF(LEN(TRIM(C258))=0,"","Fact_"&amp;TEXT(SUMPRODUCT(--(LEN(TRIM($C$2:C256))&gt;0))-1,"000"))</f>
        <v/>
      </c>
      <c r="C258" s="2" t="inlineStr">
        <is>
          <t xml:space="preserve">Luna Gonzalez Alvarez </t>
        </is>
      </c>
      <c r="D258" s="70" t="n">
        <v>45749</v>
      </c>
      <c r="E258" s="69" t="n">
        <v>365</v>
      </c>
      <c r="F258" s="70">
        <f>IF(Tabla1[[#This Row],[Días a vencer]]="","",D258+E258)</f>
        <v/>
      </c>
      <c r="G258" s="69">
        <f>IF(E258="","VACIO",IF(H258&lt;0,"Vencido hace "&amp;H258*-1&amp;" días",IF(H258=0,"Vence hoy",IF(H258&lt;4,"Tiene "&amp;H258&amp;" días","Faltan "&amp;H258&amp;" días"))))</f>
        <v/>
      </c>
      <c r="H258" s="71">
        <f>F258-$B$2</f>
        <v/>
      </c>
      <c r="I258" s="72" t="inlineStr">
        <is>
          <t>crunchyroll</t>
        </is>
      </c>
      <c r="J258" s="37" t="inlineStr">
        <is>
          <t>gotbugs@live.com.mx:Vodka135</t>
        </is>
      </c>
      <c r="K258" s="38" t="n"/>
    </row>
    <row r="259">
      <c r="B259" s="4">
        <f t="array" ref="B259">IF(LEN(TRIM(C259))=0,"","Fact_"&amp;TEXT(SUMPRODUCT(--(LEN(TRIM($C$2:C257))&gt;0))-1,"000"))</f>
        <v/>
      </c>
      <c r="C259" s="69" t="n"/>
      <c r="D259" s="70" t="n"/>
      <c r="E259" s="69" t="n"/>
      <c r="F259" s="70">
        <f>IF(Tabla1[[#This Row],[Días a vencer]]="","",D259+E259)</f>
        <v/>
      </c>
      <c r="G259" s="69">
        <f>IF(E259="","VACIO",IF(H259&lt;0,"Vencido hace "&amp;H259*-1&amp;" días",IF(H259=0,"Vence hoy",IF(H259&lt;4,"Tiene "&amp;H259&amp;" días","Faltan "&amp;H259&amp;" días"))))</f>
        <v/>
      </c>
      <c r="H259" s="71">
        <f>F259-$B$2</f>
        <v/>
      </c>
      <c r="I259" s="72" t="inlineStr">
        <is>
          <t>crunchyroll</t>
        </is>
      </c>
      <c r="J259" s="37" t="inlineStr">
        <is>
          <t>omar.axel@live.com.mx:FIRETRUCK45</t>
        </is>
      </c>
      <c r="K259" s="38" t="n"/>
    </row>
    <row r="260">
      <c r="B260" s="4">
        <f t="array" ref="B260">IF(LEN(TRIM(C260))=0,"","Fact_"&amp;TEXT(SUMPRODUCT(--(LEN(TRIM($C$2:C258))&gt;0))-1,"000"))</f>
        <v/>
      </c>
      <c r="C260" s="69" t="n"/>
      <c r="D260" s="70" t="n"/>
      <c r="E260" s="69" t="n"/>
      <c r="F260" s="70">
        <f>IF(Tabla1[[#This Row],[Días a vencer]]="","",D260+E260)</f>
        <v/>
      </c>
      <c r="G260" s="69">
        <f>IF(E260="","VACIO",IF(H260&lt;0,"Vencido hace "&amp;H260*-1&amp;" días",IF(H260=0,"Vence hoy",IF(H260&lt;4,"Tiene "&amp;H260&amp;" días","Faltan "&amp;H260&amp;" días"))))</f>
        <v/>
      </c>
      <c r="H260" s="71">
        <f>F260-$B$2</f>
        <v/>
      </c>
      <c r="I260" s="72" t="inlineStr">
        <is>
          <t>crunchyroll</t>
        </is>
      </c>
      <c r="J260" s="37" t="inlineStr">
        <is>
          <t>brito05@yahoo.com.mx:brtt2601</t>
        </is>
      </c>
      <c r="K260" s="38" t="n"/>
    </row>
    <row r="261">
      <c r="B261" s="4">
        <f t="array" ref="B261">IF(LEN(TRIM(C261))=0,"","Fact_"&amp;TEXT(SUMPRODUCT(--(LEN(TRIM($C$2:C259))&gt;0))-1,"000"))</f>
        <v/>
      </c>
      <c r="C261" s="69" t="n"/>
      <c r="D261" s="70" t="n"/>
      <c r="E261" s="69" t="n"/>
      <c r="F261" s="70">
        <f>IF(Tabla1[[#This Row],[Días a vencer]]="","",D261+E261)</f>
        <v/>
      </c>
      <c r="G261" s="69">
        <f>IF(E261="","VACIO",IF(H261&lt;0,"Vencido hace "&amp;H261*-1&amp;" días",IF(H261=0,"Vence hoy",IF(H261&lt;4,"Tiene "&amp;H261&amp;" días","Faltan "&amp;H261&amp;" días"))))</f>
        <v/>
      </c>
      <c r="H261" s="71">
        <f>F261-$B$2</f>
        <v/>
      </c>
      <c r="I261" s="72" t="inlineStr">
        <is>
          <t>crunchyroll</t>
        </is>
      </c>
      <c r="J261" s="37" t="inlineStr">
        <is>
          <t>carlos_tquintero@yahoo.com.mx:toloyomo</t>
        </is>
      </c>
      <c r="K261" s="38" t="n"/>
    </row>
  </sheetData>
  <conditionalFormatting sqref="G4:G261">
    <cfRule type="expression" priority="40" dxfId="48">
      <formula>$H4&gt;=4</formula>
    </cfRule>
    <cfRule type="expression" priority="41" dxfId="47">
      <formula>AND($H4&gt;0,$H4&lt;4)</formula>
    </cfRule>
    <cfRule type="expression" priority="42" dxfId="46">
      <formula>$H4=0</formula>
    </cfRule>
    <cfRule type="expression" priority="43" dxfId="45">
      <formula>$H4&lt;0</formula>
    </cfRule>
  </conditionalFormatting>
  <conditionalFormatting sqref="J111">
    <cfRule type="duplicateValues" priority="39" dxfId="11"/>
  </conditionalFormatting>
  <conditionalFormatting sqref="J163">
    <cfRule type="duplicateValues" priority="32" dxfId="11"/>
    <cfRule type="duplicateValues" priority="33" dxfId="11"/>
    <cfRule type="duplicateValues" priority="34" dxfId="11"/>
    <cfRule type="duplicateValues" priority="35" dxfId="11"/>
    <cfRule type="duplicateValues" priority="36" dxfId="11"/>
    <cfRule type="duplicateValues" priority="37" dxfId="11"/>
    <cfRule type="duplicateValues" priority="38" dxfId="11"/>
  </conditionalFormatting>
  <conditionalFormatting sqref="J212">
    <cfRule type="duplicateValues" priority="30" dxfId="11"/>
    <cfRule type="duplicateValues" priority="31" dxfId="11"/>
  </conditionalFormatting>
  <conditionalFormatting sqref="J245">
    <cfRule type="duplicateValues" priority="26" dxfId="11"/>
  </conditionalFormatting>
  <conditionalFormatting sqref="J251">
    <cfRule type="duplicateValues" priority="25" dxfId="11"/>
  </conditionalFormatting>
  <conditionalFormatting sqref="J196">
    <cfRule type="duplicateValues" priority="24" dxfId="11"/>
  </conditionalFormatting>
  <conditionalFormatting sqref="J195">
    <cfRule type="duplicateValues" priority="23" dxfId="11"/>
  </conditionalFormatting>
  <conditionalFormatting sqref="J152">
    <cfRule type="duplicateValues" priority="22" dxfId="11"/>
  </conditionalFormatting>
  <conditionalFormatting sqref="J178">
    <cfRule type="duplicateValues" priority="21" dxfId="11"/>
  </conditionalFormatting>
  <conditionalFormatting sqref="J185">
    <cfRule type="duplicateValues" priority="20" dxfId="11"/>
  </conditionalFormatting>
  <conditionalFormatting sqref="J70">
    <cfRule type="duplicateValues" priority="19" dxfId="11"/>
  </conditionalFormatting>
  <conditionalFormatting sqref="J116">
    <cfRule type="duplicateValues" priority="18" dxfId="11"/>
  </conditionalFormatting>
  <conditionalFormatting sqref="J28">
    <cfRule type="duplicateValues" priority="17" dxfId="11"/>
  </conditionalFormatting>
  <conditionalFormatting sqref="J159">
    <cfRule type="duplicateValues" priority="16" dxfId="11"/>
  </conditionalFormatting>
  <conditionalFormatting sqref="J253">
    <cfRule type="duplicateValues" priority="14" dxfId="11"/>
  </conditionalFormatting>
  <conditionalFormatting sqref="J113">
    <cfRule type="duplicateValues" priority="13" dxfId="11"/>
  </conditionalFormatting>
  <conditionalFormatting sqref="J45">
    <cfRule type="duplicateValues" priority="12" dxfId="11"/>
  </conditionalFormatting>
  <conditionalFormatting sqref="J46">
    <cfRule type="duplicateValues" priority="11" dxfId="11"/>
  </conditionalFormatting>
  <conditionalFormatting sqref="J47">
    <cfRule type="duplicateValues" priority="10" dxfId="11"/>
  </conditionalFormatting>
  <conditionalFormatting sqref="J61">
    <cfRule type="duplicateValues" priority="9" dxfId="11"/>
  </conditionalFormatting>
  <conditionalFormatting sqref="J233">
    <cfRule type="duplicateValues" priority="8" dxfId="11"/>
  </conditionalFormatting>
  <conditionalFormatting sqref="J236">
    <cfRule type="duplicateValues" priority="5" dxfId="11"/>
    <cfRule type="duplicateValues" priority="6" dxfId="11"/>
    <cfRule type="duplicateValues" priority="4" dxfId="14"/>
  </conditionalFormatting>
  <conditionalFormatting sqref="J102">
    <cfRule type="duplicateValues" priority="3" dxfId="11"/>
    <cfRule type="duplicateValues" priority="2" dxfId="11"/>
  </conditionalFormatting>
  <conditionalFormatting sqref="J240">
    <cfRule type="duplicateValues" priority="1" dxfId="11"/>
  </conditionalFormatting>
  <hyperlinks>
    <hyperlink xmlns:r="http://schemas.openxmlformats.org/officeDocument/2006/relationships" ref="J7" r:id="rId1"/>
    <hyperlink xmlns:r="http://schemas.openxmlformats.org/officeDocument/2006/relationships" ref="J11" r:id="rId2"/>
    <hyperlink xmlns:r="http://schemas.openxmlformats.org/officeDocument/2006/relationships" ref="J13" r:id="rId3"/>
    <hyperlink xmlns:r="http://schemas.openxmlformats.org/officeDocument/2006/relationships" ref="J14" r:id="rId4"/>
    <hyperlink xmlns:r="http://schemas.openxmlformats.org/officeDocument/2006/relationships" ref="J21" r:id="rId5"/>
    <hyperlink xmlns:r="http://schemas.openxmlformats.org/officeDocument/2006/relationships" ref="J24" r:id="rId6"/>
    <hyperlink xmlns:r="http://schemas.openxmlformats.org/officeDocument/2006/relationships" ref="J25" r:id="rId7"/>
    <hyperlink xmlns:r="http://schemas.openxmlformats.org/officeDocument/2006/relationships" ref="J28" r:id="rId8"/>
    <hyperlink xmlns:r="http://schemas.openxmlformats.org/officeDocument/2006/relationships" ref="J29" r:id="rId9"/>
    <hyperlink xmlns:r="http://schemas.openxmlformats.org/officeDocument/2006/relationships" ref="J31" r:id="rId10"/>
    <hyperlink xmlns:r="http://schemas.openxmlformats.org/officeDocument/2006/relationships" ref="J49" r:id="rId11"/>
    <hyperlink xmlns:r="http://schemas.openxmlformats.org/officeDocument/2006/relationships" ref="J56" r:id="rId12"/>
    <hyperlink xmlns:r="http://schemas.openxmlformats.org/officeDocument/2006/relationships" ref="J67" r:id="rId13"/>
    <hyperlink xmlns:r="http://schemas.openxmlformats.org/officeDocument/2006/relationships" ref="J73" r:id="rId14"/>
    <hyperlink xmlns:r="http://schemas.openxmlformats.org/officeDocument/2006/relationships" ref="J74" r:id="rId15"/>
    <hyperlink xmlns:r="http://schemas.openxmlformats.org/officeDocument/2006/relationships" ref="J76" r:id="rId16"/>
    <hyperlink xmlns:r="http://schemas.openxmlformats.org/officeDocument/2006/relationships" ref="J78" r:id="rId17"/>
    <hyperlink xmlns:r="http://schemas.openxmlformats.org/officeDocument/2006/relationships" ref="J95" r:id="rId18"/>
    <hyperlink xmlns:r="http://schemas.openxmlformats.org/officeDocument/2006/relationships" ref="J99" r:id="rId19"/>
    <hyperlink xmlns:r="http://schemas.openxmlformats.org/officeDocument/2006/relationships" ref="L99" r:id="rId20"/>
    <hyperlink xmlns:r="http://schemas.openxmlformats.org/officeDocument/2006/relationships" ref="J106" r:id="rId21"/>
    <hyperlink xmlns:r="http://schemas.openxmlformats.org/officeDocument/2006/relationships" ref="J107" r:id="rId22"/>
    <hyperlink xmlns:r="http://schemas.openxmlformats.org/officeDocument/2006/relationships" ref="J108" r:id="rId23"/>
    <hyperlink xmlns:r="http://schemas.openxmlformats.org/officeDocument/2006/relationships" ref="J111" r:id="rId24"/>
    <hyperlink xmlns:r="http://schemas.openxmlformats.org/officeDocument/2006/relationships" ref="J124" r:id="rId25"/>
    <hyperlink xmlns:r="http://schemas.openxmlformats.org/officeDocument/2006/relationships" ref="J127" r:id="rId26"/>
    <hyperlink xmlns:r="http://schemas.openxmlformats.org/officeDocument/2006/relationships" ref="J128" r:id="rId27"/>
    <hyperlink xmlns:r="http://schemas.openxmlformats.org/officeDocument/2006/relationships" ref="J129" r:id="rId28"/>
    <hyperlink xmlns:r="http://schemas.openxmlformats.org/officeDocument/2006/relationships" ref="J132" r:id="rId29"/>
    <hyperlink xmlns:r="http://schemas.openxmlformats.org/officeDocument/2006/relationships" ref="J133" r:id="rId30"/>
    <hyperlink xmlns:r="http://schemas.openxmlformats.org/officeDocument/2006/relationships" ref="J141" r:id="rId31"/>
    <hyperlink xmlns:r="http://schemas.openxmlformats.org/officeDocument/2006/relationships" ref="J142" r:id="rId32"/>
    <hyperlink xmlns:r="http://schemas.openxmlformats.org/officeDocument/2006/relationships" ref="J143" r:id="rId33"/>
    <hyperlink xmlns:r="http://schemas.openxmlformats.org/officeDocument/2006/relationships" ref="J161" r:id="rId34"/>
    <hyperlink xmlns:r="http://schemas.openxmlformats.org/officeDocument/2006/relationships" ref="K167" r:id="rId35"/>
    <hyperlink xmlns:r="http://schemas.openxmlformats.org/officeDocument/2006/relationships" ref="J168" r:id="rId36"/>
    <hyperlink xmlns:r="http://schemas.openxmlformats.org/officeDocument/2006/relationships" ref="J169" r:id="rId37"/>
    <hyperlink xmlns:r="http://schemas.openxmlformats.org/officeDocument/2006/relationships" ref="J170" r:id="rId38"/>
    <hyperlink xmlns:r="http://schemas.openxmlformats.org/officeDocument/2006/relationships" ref="J181" r:id="rId39"/>
    <hyperlink xmlns:r="http://schemas.openxmlformats.org/officeDocument/2006/relationships" ref="J207" r:id="rId40"/>
    <hyperlink xmlns:r="http://schemas.openxmlformats.org/officeDocument/2006/relationships" ref="J211" r:id="rId41"/>
    <hyperlink xmlns:r="http://schemas.openxmlformats.org/officeDocument/2006/relationships" ref="J212" r:id="rId42"/>
    <hyperlink xmlns:r="http://schemas.openxmlformats.org/officeDocument/2006/relationships" ref="J217" r:id="rId43"/>
    <hyperlink xmlns:r="http://schemas.openxmlformats.org/officeDocument/2006/relationships" ref="J220" r:id="rId44"/>
    <hyperlink xmlns:r="http://schemas.openxmlformats.org/officeDocument/2006/relationships" ref="J225" r:id="rId45"/>
    <hyperlink xmlns:r="http://schemas.openxmlformats.org/officeDocument/2006/relationships" ref="J239" r:id="rId46"/>
  </hyperlinks>
  <pageMargins left="0.7" right="0.7" top="0.75" bottom="0.75" header="0.3" footer="0.3"/>
  <pageSetup orientation="portrait" horizontalDpi="0" verticalDpi="0"/>
  <tableParts count="1">
    <tablePart xmlns:r="http://schemas.openxmlformats.org/officeDocument/2006/relationships" r:id="rId47"/>
  </tableParts>
</worksheet>
</file>

<file path=xl/worksheets/sheet2.xml><?xml version="1.0" encoding="utf-8"?>
<worksheet xmlns="http://schemas.openxmlformats.org/spreadsheetml/2006/main">
  <sheetPr codeName="Hoja2">
    <tabColor theme="3" tint="-0.499984740745262"/>
    <outlinePr summaryBelow="1" summaryRight="1"/>
    <pageSetUpPr/>
  </sheetPr>
  <dimension ref="A1:G13"/>
  <sheetViews>
    <sheetView showGridLines="0" zoomScale="70" zoomScaleNormal="70" workbookViewId="0">
      <selection activeCell="C25" sqref="C25"/>
    </sheetView>
  </sheetViews>
  <sheetFormatPr baseColWidth="10" defaultColWidth="10.7109375" defaultRowHeight="15"/>
  <cols>
    <col width="9" customWidth="1" style="83" min="1" max="1"/>
    <col width="55" customWidth="1" style="83" min="2" max="2"/>
    <col width="42.85546875" customWidth="1" style="83" min="3" max="3"/>
  </cols>
  <sheetData>
    <row r="1" ht="36" customFormat="1" customHeight="1" s="15">
      <c r="A1" s="13" t="n"/>
      <c r="B1" s="14" t="inlineStr">
        <is>
          <t>Crear alertas de vencimiento en Excel</t>
        </is>
      </c>
      <c r="C1" s="13" t="n"/>
      <c r="D1" s="13" t="n"/>
      <c r="E1" s="13" t="n"/>
      <c r="F1" s="13" t="n"/>
      <c r="G1" s="13" t="n"/>
    </row>
    <row r="2" ht="28.5" customFormat="1" customHeight="1" s="18">
      <c r="A2" s="16" t="inlineStr">
        <is>
          <t>Tutoriales de El Tío Tech</t>
        </is>
      </c>
      <c r="B2" s="17" t="n"/>
      <c r="C2" s="17" t="n"/>
      <c r="D2" s="17" t="n"/>
      <c r="E2" s="17" t="n"/>
      <c r="F2" s="17" t="n"/>
      <c r="G2" s="17" t="n"/>
    </row>
    <row r="6" ht="20.25" customHeight="1" s="83">
      <c r="B6" s="19" t="inlineStr">
        <is>
          <t>Aprende a crear gráficos profesionales en:</t>
        </is>
      </c>
      <c r="C6" s="20" t="inlineStr">
        <is>
          <t>https://eltiotech.com/diagramas-y-graficos-en-excel/</t>
        </is>
      </c>
      <c r="D6" s="19" t="n"/>
      <c r="E6" s="19" t="n"/>
      <c r="F6" s="19" t="n"/>
    </row>
    <row r="7" ht="20.25" customHeight="1" s="83">
      <c r="B7" s="19" t="inlineStr">
        <is>
          <t>Suscríbete a El Tío Tech en YouTube:</t>
        </is>
      </c>
      <c r="C7" s="20" t="inlineStr">
        <is>
          <t>https://www.youtube.com/eltiotech</t>
        </is>
      </c>
      <c r="D7" s="19" t="n"/>
      <c r="E7" s="19" t="n"/>
      <c r="F7" s="19" t="n"/>
    </row>
    <row r="8" ht="20.25" customHeight="1" s="83">
      <c r="B8" s="19" t="inlineStr">
        <is>
          <t>Visita la web para ver más tutoriales:</t>
        </is>
      </c>
      <c r="C8" s="20" t="inlineStr">
        <is>
          <t>https://bit.ly/2BX3RdM</t>
        </is>
      </c>
      <c r="D8" s="19" t="n"/>
      <c r="E8" s="19" t="n"/>
      <c r="F8" s="19" t="n"/>
    </row>
    <row r="9" ht="20.25" customHeight="1" s="83">
      <c r="B9" s="19" t="inlineStr">
        <is>
          <t>🔴 Cursos gratis de Excel:</t>
        </is>
      </c>
      <c r="C9" s="20" t="inlineStr">
        <is>
          <t>https://eltiotech.com/cursos-gratis-de-excel-basico-intermedio-avanzado/</t>
        </is>
      </c>
      <c r="D9" s="19" t="n"/>
      <c r="E9" s="19" t="n"/>
      <c r="F9" s="19" t="n"/>
    </row>
    <row r="10" ht="20.25" customHeight="1" s="83">
      <c r="B10" s="19" t="n"/>
      <c r="C10" s="19" t="n"/>
      <c r="D10" s="19" t="n"/>
      <c r="E10" s="19" t="n"/>
      <c r="F10" s="19" t="n"/>
    </row>
    <row r="11" ht="20.25" customHeight="1" s="83">
      <c r="B11" s="19" t="n"/>
      <c r="C11" s="19" t="n"/>
      <c r="D11" s="19" t="n"/>
      <c r="E11" s="19" t="n"/>
      <c r="F11" s="19" t="n"/>
    </row>
    <row r="12" ht="27" customHeight="1" s="83">
      <c r="B12" s="82" t="inlineStr">
        <is>
          <t>© Todos el contenido de este curso está sujeto a derechos de propiedad por las leyes de Derechos de Autor y demás Leyes relativas Internacionales por Miguel Vela - "El Tío Tech".</t>
        </is>
      </c>
    </row>
    <row r="13" ht="27" customHeight="1" s="83"/>
  </sheetData>
  <sheetProtection selectLockedCells="0" selectUnlockedCells="0" algorithmName="SHA-512" sheet="1" objects="1" insertRows="1" insertHyperlinks="1" autoFilter="1" scenarios="1" formatColumns="1" deleteColumns="1" insertColumns="1" pivotTables="1" deleteRows="1" formatCells="1" saltValue="rhA/lmCZL6LH3FwPzyumew==" formatRows="1" sort="1" spinCount="100000" hashValue="A1IVaepgd/3mOkpyXaewsXwTN1lPBE50G8ZT6jAt6MBFC5CsEbZ70Fm6vJLo/kyY+72XlcranTpc8ftv+iP5HA=="/>
  <mergeCells count="1">
    <mergeCell ref="B12:F13"/>
  </mergeCells>
  <hyperlinks>
    <hyperlink xmlns:r="http://schemas.openxmlformats.org/officeDocument/2006/relationships" ref="C7" r:id="rId1"/>
    <hyperlink xmlns:r="http://schemas.openxmlformats.org/officeDocument/2006/relationships" ref="C9" r:id="rId2"/>
  </hyperlinks>
  <pageMargins left="0.7" right="0.7" top="0.75" bottom="0.75" header="0.3" footer="0.3"/>
  <drawing xmlns:r="http://schemas.openxmlformats.org/officeDocument/2006/relationships" r:id="rId3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Usuario de Windows</dc:creator>
  <dcterms:created xmlns:dcterms="http://purl.org/dc/terms/" xmlns:xsi="http://www.w3.org/2001/XMLSchema-instance" xsi:type="dcterms:W3CDTF">2019-10-17T23:56:04Z</dcterms:created>
  <dcterms:modified xmlns:dcterms="http://purl.org/dc/terms/" xmlns:xsi="http://www.w3.org/2001/XMLSchema-instance" xsi:type="dcterms:W3CDTF">2026-04-29T02:22:44Z</dcterms:modified>
  <cp:lastModifiedBy>brandon arana</cp:lastModifiedBy>
</cp:coreProperties>
</file>